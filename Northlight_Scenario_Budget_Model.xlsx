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IRTAN~1\AppData\Local\Temp\"/>
    </mc:Choice>
  </mc:AlternateContent>
  <xr:revisionPtr revIDLastSave="0" documentId="8_{322A13AC-03A8-402B-A0EC-26CD8AE03DF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ver" sheetId="1" r:id="rId1"/>
    <sheet name="Dashboard" sheetId="2" r:id="rId2"/>
    <sheet name="Assumptions" sheetId="3" r:id="rId3"/>
    <sheet name="Budget_vs_Actual" sheetId="4" r:id="rId4"/>
    <sheet name="Actuals" sheetId="5" r:id="rId5"/>
    <sheet name="Budget_Locked" sheetId="6" r:id="rId6"/>
    <sheet name="Model_Base" sheetId="7" r:id="rId7"/>
    <sheet name="Model_Upside" sheetId="8" r:id="rId8"/>
    <sheet name="Model_Downside" sheetId="9" r:id="rId9"/>
    <sheet name="Scenarios" sheetId="10" r:id="rId10"/>
    <sheet name="ChartData" sheetId="11" r:id="rId11"/>
    <sheet name="Checks" sheetId="12" r:id="rId12"/>
  </sheets>
  <definedNames>
    <definedName name="Check_Status">Checks!$B$26</definedName>
    <definedName name="Scenario">Dashboard!$O$2</definedName>
    <definedName name="Scn_Idx">Assumptions!$C$47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0" i="12" l="1"/>
  <c r="D20" i="12" s="1"/>
  <c r="A32" i="11"/>
  <c r="A31" i="11"/>
  <c r="A30" i="11"/>
  <c r="A29" i="11"/>
  <c r="A28" i="11"/>
  <c r="A27" i="11"/>
  <c r="A26" i="11"/>
  <c r="A25" i="11"/>
  <c r="A24" i="11"/>
  <c r="A23" i="11"/>
  <c r="A22" i="11"/>
  <c r="L16" i="11"/>
  <c r="H16" i="11"/>
  <c r="C16" i="11"/>
  <c r="B16" i="11"/>
  <c r="A16" i="11"/>
  <c r="L15" i="11"/>
  <c r="H15" i="11"/>
  <c r="C15" i="11"/>
  <c r="B15" i="11"/>
  <c r="A15" i="11"/>
  <c r="L14" i="11"/>
  <c r="H14" i="11"/>
  <c r="C14" i="11"/>
  <c r="B14" i="11"/>
  <c r="A14" i="11"/>
  <c r="L13" i="11"/>
  <c r="H13" i="11"/>
  <c r="C13" i="11"/>
  <c r="B13" i="11"/>
  <c r="A13" i="11"/>
  <c r="L12" i="11"/>
  <c r="H12" i="11"/>
  <c r="C12" i="11"/>
  <c r="B12" i="11"/>
  <c r="A12" i="11"/>
  <c r="L11" i="11"/>
  <c r="H11" i="11"/>
  <c r="C11" i="11"/>
  <c r="B11" i="11"/>
  <c r="A11" i="11"/>
  <c r="L10" i="11"/>
  <c r="H10" i="11"/>
  <c r="D10" i="11"/>
  <c r="B10" i="11"/>
  <c r="A10" i="11"/>
  <c r="L9" i="11"/>
  <c r="H9" i="11"/>
  <c r="D9" i="11"/>
  <c r="B9" i="11"/>
  <c r="A9" i="11"/>
  <c r="L8" i="11"/>
  <c r="H8" i="11"/>
  <c r="D8" i="11"/>
  <c r="B8" i="11"/>
  <c r="A8" i="11"/>
  <c r="L7" i="11"/>
  <c r="H7" i="11"/>
  <c r="D7" i="11"/>
  <c r="B7" i="11"/>
  <c r="A7" i="11"/>
  <c r="L6" i="11"/>
  <c r="H6" i="11"/>
  <c r="D6" i="11"/>
  <c r="B6" i="11"/>
  <c r="A6" i="11"/>
  <c r="L5" i="11"/>
  <c r="H5" i="11"/>
  <c r="D5" i="11"/>
  <c r="B5" i="11"/>
  <c r="A5" i="11"/>
  <c r="B18" i="10"/>
  <c r="B17" i="10"/>
  <c r="N24" i="9"/>
  <c r="M24" i="9"/>
  <c r="L24" i="9"/>
  <c r="K24" i="9"/>
  <c r="J24" i="9"/>
  <c r="I24" i="9"/>
  <c r="H24" i="9"/>
  <c r="G24" i="9"/>
  <c r="F24" i="9"/>
  <c r="E24" i="9"/>
  <c r="D24" i="9"/>
  <c r="C24" i="9"/>
  <c r="N8" i="9"/>
  <c r="M8" i="9"/>
  <c r="M27" i="9" s="1"/>
  <c r="L8" i="9"/>
  <c r="L27" i="9" s="1"/>
  <c r="K8" i="9"/>
  <c r="J8" i="9"/>
  <c r="I8" i="9"/>
  <c r="I27" i="9" s="1"/>
  <c r="H8" i="9"/>
  <c r="H27" i="9" s="1"/>
  <c r="G8" i="9"/>
  <c r="G27" i="9" s="1"/>
  <c r="F8" i="9"/>
  <c r="E8" i="9"/>
  <c r="E27" i="9" s="1"/>
  <c r="D8" i="9"/>
  <c r="C8" i="9"/>
  <c r="H29" i="8"/>
  <c r="E27" i="8"/>
  <c r="N24" i="8"/>
  <c r="M24" i="8"/>
  <c r="L24" i="8"/>
  <c r="K24" i="8"/>
  <c r="J24" i="8"/>
  <c r="I24" i="8"/>
  <c r="H24" i="8"/>
  <c r="G24" i="8"/>
  <c r="O24" i="8" s="1"/>
  <c r="F24" i="8"/>
  <c r="E24" i="8"/>
  <c r="D24" i="8"/>
  <c r="C24" i="8"/>
  <c r="N8" i="8"/>
  <c r="N27" i="8" s="1"/>
  <c r="M8" i="8"/>
  <c r="M27" i="8" s="1"/>
  <c r="L8" i="8"/>
  <c r="K8" i="8"/>
  <c r="J8" i="8"/>
  <c r="I8" i="8"/>
  <c r="I27" i="8" s="1"/>
  <c r="H8" i="8"/>
  <c r="H27" i="8" s="1"/>
  <c r="G8" i="8"/>
  <c r="F8" i="8"/>
  <c r="F27" i="8" s="1"/>
  <c r="E8" i="8"/>
  <c r="D8" i="8"/>
  <c r="D27" i="8" s="1"/>
  <c r="C8" i="8"/>
  <c r="C46" i="7"/>
  <c r="O46" i="7" s="1"/>
  <c r="N44" i="7"/>
  <c r="M44" i="7"/>
  <c r="L44" i="7"/>
  <c r="K44" i="7"/>
  <c r="J44" i="7"/>
  <c r="I44" i="7"/>
  <c r="H44" i="7"/>
  <c r="G44" i="7"/>
  <c r="F44" i="7"/>
  <c r="E44" i="7"/>
  <c r="D44" i="7"/>
  <c r="C44" i="7"/>
  <c r="C43" i="7"/>
  <c r="N35" i="7"/>
  <c r="M35" i="7"/>
  <c r="L35" i="7"/>
  <c r="K35" i="7"/>
  <c r="J35" i="7"/>
  <c r="I35" i="7"/>
  <c r="H35" i="7"/>
  <c r="G35" i="7"/>
  <c r="F35" i="7"/>
  <c r="E35" i="7"/>
  <c r="D35" i="7"/>
  <c r="C35" i="7"/>
  <c r="N31" i="7"/>
  <c r="M31" i="7"/>
  <c r="L31" i="7"/>
  <c r="K31" i="7"/>
  <c r="J31" i="7"/>
  <c r="O31" i="7" s="1"/>
  <c r="I31" i="7"/>
  <c r="H31" i="7"/>
  <c r="G31" i="7"/>
  <c r="F31" i="7"/>
  <c r="E31" i="7"/>
  <c r="D31" i="7"/>
  <c r="C31" i="7"/>
  <c r="N30" i="7"/>
  <c r="M30" i="7"/>
  <c r="L30" i="7"/>
  <c r="K30" i="7"/>
  <c r="J30" i="7"/>
  <c r="I30" i="7"/>
  <c r="H30" i="7"/>
  <c r="G30" i="7"/>
  <c r="F30" i="7"/>
  <c r="E30" i="7"/>
  <c r="D30" i="7"/>
  <c r="C30" i="7"/>
  <c r="N29" i="7"/>
  <c r="M29" i="7"/>
  <c r="L29" i="7"/>
  <c r="K29" i="7"/>
  <c r="J29" i="7"/>
  <c r="I29" i="7"/>
  <c r="H29" i="7"/>
  <c r="G29" i="7"/>
  <c r="F29" i="7"/>
  <c r="E29" i="7"/>
  <c r="D29" i="7"/>
  <c r="C29" i="7"/>
  <c r="L27" i="7"/>
  <c r="N24" i="7"/>
  <c r="M24" i="7"/>
  <c r="L24" i="7"/>
  <c r="K24" i="7"/>
  <c r="J24" i="7"/>
  <c r="I24" i="7"/>
  <c r="H24" i="7"/>
  <c r="G24" i="7"/>
  <c r="F24" i="7"/>
  <c r="E24" i="7"/>
  <c r="D24" i="7"/>
  <c r="C24" i="7"/>
  <c r="C23" i="7"/>
  <c r="K15" i="7"/>
  <c r="N12" i="7"/>
  <c r="M12" i="7"/>
  <c r="L12" i="7"/>
  <c r="K12" i="7"/>
  <c r="J12" i="7"/>
  <c r="I12" i="7"/>
  <c r="H12" i="7"/>
  <c r="G12" i="7"/>
  <c r="F12" i="7"/>
  <c r="E12" i="7"/>
  <c r="D12" i="7"/>
  <c r="C12" i="7"/>
  <c r="N8" i="7"/>
  <c r="N15" i="7" s="1"/>
  <c r="M8" i="7"/>
  <c r="M15" i="7" s="1"/>
  <c r="L8" i="7"/>
  <c r="L15" i="7" s="1"/>
  <c r="K8" i="7"/>
  <c r="K27" i="7" s="1"/>
  <c r="J8" i="7"/>
  <c r="J15" i="7" s="1"/>
  <c r="I8" i="7"/>
  <c r="H8" i="7"/>
  <c r="H27" i="7" s="1"/>
  <c r="G8" i="7"/>
  <c r="G27" i="7" s="1"/>
  <c r="F8" i="7"/>
  <c r="F27" i="7" s="1"/>
  <c r="E8" i="7"/>
  <c r="E27" i="7" s="1"/>
  <c r="D8" i="7"/>
  <c r="D15" i="7" s="1"/>
  <c r="C8" i="7"/>
  <c r="C27" i="7" s="1"/>
  <c r="C7" i="7"/>
  <c r="O50" i="6"/>
  <c r="B13" i="10" s="1"/>
  <c r="O49" i="6"/>
  <c r="O47" i="6"/>
  <c r="B15" i="10" s="1"/>
  <c r="O46" i="6"/>
  <c r="O45" i="6"/>
  <c r="O44" i="6"/>
  <c r="O43" i="6"/>
  <c r="O42" i="6"/>
  <c r="O41" i="6"/>
  <c r="O40" i="6"/>
  <c r="O38" i="6"/>
  <c r="B11" i="10" s="1"/>
  <c r="O37" i="6"/>
  <c r="O36" i="6"/>
  <c r="O35" i="6"/>
  <c r="O33" i="6"/>
  <c r="B9" i="10" s="1"/>
  <c r="G13" i="2" s="1"/>
  <c r="O32" i="6"/>
  <c r="B8" i="10" s="1"/>
  <c r="O31" i="6"/>
  <c r="O30" i="6"/>
  <c r="G18" i="4" s="1"/>
  <c r="O29" i="6"/>
  <c r="O28" i="6"/>
  <c r="G16" i="4" s="1"/>
  <c r="O27" i="6"/>
  <c r="O26" i="6"/>
  <c r="O25" i="6"/>
  <c r="B14" i="10" s="1"/>
  <c r="O24" i="6"/>
  <c r="O23" i="6"/>
  <c r="O21" i="6"/>
  <c r="B6" i="10" s="1"/>
  <c r="O20" i="6"/>
  <c r="G12" i="4" s="1"/>
  <c r="O19" i="6"/>
  <c r="G11" i="4" s="1"/>
  <c r="O18" i="6"/>
  <c r="O17" i="6"/>
  <c r="O16" i="6"/>
  <c r="B5" i="10" s="1"/>
  <c r="O15" i="6"/>
  <c r="O14" i="6"/>
  <c r="G6" i="4" s="1"/>
  <c r="O12" i="6"/>
  <c r="O11" i="6"/>
  <c r="O10" i="6"/>
  <c r="B12" i="10" s="1"/>
  <c r="O9" i="6"/>
  <c r="O8" i="6"/>
  <c r="O7" i="6"/>
  <c r="I29" i="5"/>
  <c r="H26" i="5"/>
  <c r="G26" i="5"/>
  <c r="F26" i="5"/>
  <c r="E26" i="5"/>
  <c r="D26" i="5"/>
  <c r="C26" i="5"/>
  <c r="I25" i="5"/>
  <c r="I24" i="5"/>
  <c r="I23" i="5"/>
  <c r="C17" i="4" s="1"/>
  <c r="I22" i="5"/>
  <c r="I21" i="5"/>
  <c r="C15" i="4" s="1"/>
  <c r="I20" i="5"/>
  <c r="C18" i="5"/>
  <c r="H17" i="5"/>
  <c r="G17" i="5"/>
  <c r="G18" i="5" s="1"/>
  <c r="G27" i="5" s="1"/>
  <c r="F17" i="5"/>
  <c r="E17" i="5"/>
  <c r="D17" i="5"/>
  <c r="C17" i="5"/>
  <c r="I16" i="5"/>
  <c r="C11" i="4" s="1"/>
  <c r="I15" i="5"/>
  <c r="I14" i="5"/>
  <c r="C9" i="4" s="1"/>
  <c r="H12" i="5"/>
  <c r="C10" i="11" s="1"/>
  <c r="G12" i="5"/>
  <c r="C9" i="11" s="1"/>
  <c r="F12" i="5"/>
  <c r="C8" i="11" s="1"/>
  <c r="E12" i="5"/>
  <c r="C7" i="11" s="1"/>
  <c r="D12" i="5"/>
  <c r="C12" i="5"/>
  <c r="C5" i="11" s="1"/>
  <c r="I11" i="5"/>
  <c r="I10" i="5"/>
  <c r="C6" i="4" s="1"/>
  <c r="I8" i="5"/>
  <c r="I7" i="5"/>
  <c r="I6" i="5"/>
  <c r="C27" i="4" s="1"/>
  <c r="D27" i="4" s="1"/>
  <c r="E27" i="4" s="1"/>
  <c r="D28" i="4"/>
  <c r="E28" i="4" s="1"/>
  <c r="C28" i="4"/>
  <c r="B28" i="4"/>
  <c r="B27" i="4"/>
  <c r="D26" i="4"/>
  <c r="E26" i="4" s="1"/>
  <c r="C26" i="4"/>
  <c r="B26" i="4"/>
  <c r="D25" i="4"/>
  <c r="E25" i="4" s="1"/>
  <c r="M8" i="2" s="1"/>
  <c r="C25" i="4"/>
  <c r="B25" i="4"/>
  <c r="G21" i="4"/>
  <c r="B21" i="4"/>
  <c r="B20" i="4"/>
  <c r="G19" i="4"/>
  <c r="C19" i="4"/>
  <c r="B19" i="4"/>
  <c r="C18" i="4"/>
  <c r="B18" i="4"/>
  <c r="D18" i="4" s="1"/>
  <c r="G17" i="4"/>
  <c r="B17" i="4"/>
  <c r="D16" i="4"/>
  <c r="C16" i="4"/>
  <c r="B16" i="4"/>
  <c r="G15" i="4"/>
  <c r="B15" i="4"/>
  <c r="D15" i="4" s="1"/>
  <c r="G14" i="4"/>
  <c r="C14" i="4"/>
  <c r="D14" i="4" s="1"/>
  <c r="B14" i="4"/>
  <c r="G13" i="4"/>
  <c r="B13" i="4"/>
  <c r="B12" i="4"/>
  <c r="B11" i="4"/>
  <c r="G10" i="4"/>
  <c r="C10" i="4"/>
  <c r="B10" i="4"/>
  <c r="D10" i="4" s="1"/>
  <c r="G9" i="4"/>
  <c r="B9" i="4"/>
  <c r="B8" i="4"/>
  <c r="B21" i="12" s="1"/>
  <c r="D21" i="12" s="1"/>
  <c r="G7" i="4"/>
  <c r="C7" i="4"/>
  <c r="B7" i="4"/>
  <c r="B6" i="4"/>
  <c r="C3" i="4"/>
  <c r="C47" i="3"/>
  <c r="E35" i="3"/>
  <c r="C43" i="9" s="1"/>
  <c r="D35" i="3"/>
  <c r="C43" i="8" s="1"/>
  <c r="E34" i="3"/>
  <c r="D34" i="3"/>
  <c r="E33" i="3"/>
  <c r="C46" i="9" s="1"/>
  <c r="D33" i="3"/>
  <c r="C46" i="8" s="1"/>
  <c r="E32" i="3"/>
  <c r="D32" i="3"/>
  <c r="E31" i="3"/>
  <c r="D31" i="3"/>
  <c r="E30" i="3"/>
  <c r="D30" i="3"/>
  <c r="E29" i="3"/>
  <c r="D29" i="3"/>
  <c r="E28" i="3"/>
  <c r="D28" i="3"/>
  <c r="E26" i="3"/>
  <c r="D26" i="3"/>
  <c r="E25" i="3"/>
  <c r="D25" i="3"/>
  <c r="I30" i="8" s="1"/>
  <c r="E24" i="3"/>
  <c r="D24" i="3"/>
  <c r="K29" i="8" s="1"/>
  <c r="E23" i="3"/>
  <c r="D23" i="3"/>
  <c r="E21" i="3"/>
  <c r="D21" i="3"/>
  <c r="E20" i="3"/>
  <c r="D20" i="3"/>
  <c r="E19" i="3"/>
  <c r="C23" i="9" s="1"/>
  <c r="D19" i="3"/>
  <c r="C23" i="8" s="1"/>
  <c r="E17" i="3"/>
  <c r="D17" i="3"/>
  <c r="E16" i="3"/>
  <c r="D16" i="3"/>
  <c r="E13" i="3"/>
  <c r="D13" i="3"/>
  <c r="E12" i="3"/>
  <c r="D12" i="3"/>
  <c r="E6" i="3"/>
  <c r="C7" i="9" s="1"/>
  <c r="D6" i="3"/>
  <c r="C7" i="8" s="1"/>
  <c r="O7" i="8" s="1"/>
  <c r="G17" i="2"/>
  <c r="G16" i="2"/>
  <c r="G15" i="2"/>
  <c r="G12" i="2"/>
  <c r="M6" i="2"/>
  <c r="C6" i="1"/>
  <c r="B27" i="11" l="1"/>
  <c r="E14" i="4"/>
  <c r="F14" i="4" s="1"/>
  <c r="B31" i="11"/>
  <c r="E18" i="4"/>
  <c r="F18" i="4" s="1"/>
  <c r="B25" i="11"/>
  <c r="E10" i="4"/>
  <c r="F10" i="4" s="1"/>
  <c r="O29" i="7"/>
  <c r="O30" i="7"/>
  <c r="D9" i="4"/>
  <c r="B24" i="11" s="1"/>
  <c r="O44" i="7"/>
  <c r="H18" i="4"/>
  <c r="I18" i="4" s="1"/>
  <c r="J18" i="4" s="1"/>
  <c r="K18" i="4" s="1"/>
  <c r="O12" i="7"/>
  <c r="C15" i="7"/>
  <c r="O35" i="7"/>
  <c r="E30" i="8"/>
  <c r="E18" i="5"/>
  <c r="E27" i="5" s="1"/>
  <c r="I26" i="5"/>
  <c r="C20" i="4" s="1"/>
  <c r="D20" i="4" s="1"/>
  <c r="E20" i="4" s="1"/>
  <c r="F20" i="4" s="1"/>
  <c r="G15" i="7"/>
  <c r="D27" i="7"/>
  <c r="D19" i="4"/>
  <c r="I17" i="5"/>
  <c r="C12" i="4" s="1"/>
  <c r="D12" i="4" s="1"/>
  <c r="E12" i="4" s="1"/>
  <c r="F12" i="4" s="1"/>
  <c r="H18" i="5"/>
  <c r="H27" i="5" s="1"/>
  <c r="H15" i="7"/>
  <c r="F7" i="3"/>
  <c r="F30" i="3"/>
  <c r="L15" i="8"/>
  <c r="C9" i="9"/>
  <c r="C10" i="9"/>
  <c r="O7" i="9"/>
  <c r="I44" i="8"/>
  <c r="H44" i="8"/>
  <c r="G44" i="8"/>
  <c r="K44" i="8"/>
  <c r="D44" i="8"/>
  <c r="N44" i="8"/>
  <c r="C44" i="8"/>
  <c r="M44" i="8"/>
  <c r="J44" i="8"/>
  <c r="E44" i="8"/>
  <c r="F44" i="8"/>
  <c r="L44" i="8"/>
  <c r="M35" i="8"/>
  <c r="B29" i="11"/>
  <c r="E16" i="4"/>
  <c r="F16" i="4" s="1"/>
  <c r="D6" i="4"/>
  <c r="B23" i="12"/>
  <c r="D23" i="12" s="1"/>
  <c r="F34" i="3"/>
  <c r="F25" i="3"/>
  <c r="F19" i="3"/>
  <c r="F11" i="3"/>
  <c r="F31" i="3"/>
  <c r="F22" i="3"/>
  <c r="F15" i="3"/>
  <c r="F10" i="3"/>
  <c r="H19" i="4"/>
  <c r="F13" i="3"/>
  <c r="F9" i="3"/>
  <c r="F33" i="3"/>
  <c r="F24" i="3"/>
  <c r="F17" i="3"/>
  <c r="F8" i="3"/>
  <c r="F28" i="3"/>
  <c r="F21" i="3"/>
  <c r="F35" i="3"/>
  <c r="F26" i="3"/>
  <c r="F20" i="3"/>
  <c r="F12" i="3"/>
  <c r="F6" i="3"/>
  <c r="F16" i="3"/>
  <c r="H17" i="4"/>
  <c r="I17" i="4" s="1"/>
  <c r="J17" i="4" s="1"/>
  <c r="K17" i="4" s="1"/>
  <c r="F32" i="3"/>
  <c r="F23" i="3"/>
  <c r="F29" i="3"/>
  <c r="D17" i="4"/>
  <c r="B32" i="11"/>
  <c r="E19" i="4"/>
  <c r="F19" i="4" s="1"/>
  <c r="C27" i="5"/>
  <c r="I27" i="7"/>
  <c r="I15" i="7"/>
  <c r="H7" i="4" s="1"/>
  <c r="I7" i="4" s="1"/>
  <c r="J7" i="4" s="1"/>
  <c r="K7" i="4" s="1"/>
  <c r="H29" i="9"/>
  <c r="N29" i="9"/>
  <c r="F29" i="9"/>
  <c r="L29" i="9"/>
  <c r="D29" i="9"/>
  <c r="I29" i="9"/>
  <c r="G29" i="9"/>
  <c r="E29" i="9"/>
  <c r="C29" i="9"/>
  <c r="M29" i="9"/>
  <c r="K29" i="9"/>
  <c r="J29" i="9"/>
  <c r="B28" i="11"/>
  <c r="E15" i="4"/>
  <c r="F15" i="4" s="1"/>
  <c r="C6" i="11"/>
  <c r="D18" i="5"/>
  <c r="D27" i="5" s="1"/>
  <c r="I12" i="5"/>
  <c r="C8" i="4" s="1"/>
  <c r="I19" i="4"/>
  <c r="J19" i="4" s="1"/>
  <c r="K19" i="4" s="1"/>
  <c r="H15" i="8"/>
  <c r="E15" i="8"/>
  <c r="M15" i="8"/>
  <c r="I15" i="8"/>
  <c r="F15" i="8"/>
  <c r="O46" i="9"/>
  <c r="D11" i="4"/>
  <c r="C9" i="8"/>
  <c r="C10" i="8" s="1"/>
  <c r="I12" i="8"/>
  <c r="M12" i="8"/>
  <c r="E12" i="8"/>
  <c r="L12" i="8"/>
  <c r="D12" i="8"/>
  <c r="H12" i="8"/>
  <c r="F12" i="8"/>
  <c r="N12" i="8"/>
  <c r="G31" i="8"/>
  <c r="K31" i="8"/>
  <c r="C31" i="8"/>
  <c r="J31" i="8"/>
  <c r="I31" i="8"/>
  <c r="F31" i="8"/>
  <c r="D31" i="8"/>
  <c r="N31" i="8"/>
  <c r="H31" i="8"/>
  <c r="L12" i="9"/>
  <c r="N12" i="9"/>
  <c r="E12" i="9"/>
  <c r="M12" i="9"/>
  <c r="D12" i="9"/>
  <c r="K12" i="9"/>
  <c r="C12" i="9"/>
  <c r="I12" i="9"/>
  <c r="H12" i="9"/>
  <c r="J12" i="9"/>
  <c r="G12" i="9"/>
  <c r="N31" i="9"/>
  <c r="F31" i="9"/>
  <c r="L31" i="9"/>
  <c r="D31" i="9"/>
  <c r="J31" i="9"/>
  <c r="H31" i="9"/>
  <c r="G31" i="9"/>
  <c r="E31" i="9"/>
  <c r="C31" i="9"/>
  <c r="M31" i="9"/>
  <c r="K31" i="9"/>
  <c r="D7" i="4"/>
  <c r="O34" i="6"/>
  <c r="B10" i="10" s="1"/>
  <c r="G14" i="2" s="1"/>
  <c r="O8" i="7"/>
  <c r="J27" i="7"/>
  <c r="L27" i="8"/>
  <c r="L31" i="8"/>
  <c r="I35" i="8"/>
  <c r="H35" i="8"/>
  <c r="F35" i="8"/>
  <c r="L35" i="8"/>
  <c r="K35" i="8"/>
  <c r="N35" i="8"/>
  <c r="J35" i="8"/>
  <c r="E35" i="8"/>
  <c r="D35" i="8"/>
  <c r="I29" i="8"/>
  <c r="M29" i="8"/>
  <c r="E29" i="8"/>
  <c r="L29" i="8"/>
  <c r="D29" i="8"/>
  <c r="J29" i="8"/>
  <c r="G29" i="8"/>
  <c r="C29" i="8"/>
  <c r="J35" i="9"/>
  <c r="H35" i="9"/>
  <c r="N35" i="9"/>
  <c r="F35" i="9"/>
  <c r="G35" i="9"/>
  <c r="E35" i="9"/>
  <c r="D35" i="9"/>
  <c r="C35" i="9"/>
  <c r="M35" i="9"/>
  <c r="L35" i="9"/>
  <c r="K35" i="9"/>
  <c r="O46" i="8"/>
  <c r="C9" i="7"/>
  <c r="C10" i="7" s="1"/>
  <c r="C11" i="7" s="1"/>
  <c r="N29" i="8"/>
  <c r="M31" i="8"/>
  <c r="F27" i="9"/>
  <c r="F15" i="9"/>
  <c r="N27" i="9"/>
  <c r="N15" i="9"/>
  <c r="I35" i="9"/>
  <c r="O7" i="7"/>
  <c r="C25" i="7"/>
  <c r="O23" i="7"/>
  <c r="M27" i="7"/>
  <c r="O8" i="8"/>
  <c r="C12" i="8"/>
  <c r="D15" i="8"/>
  <c r="E15" i="9"/>
  <c r="M15" i="9"/>
  <c r="I15" i="9"/>
  <c r="O23" i="8"/>
  <c r="C25" i="8"/>
  <c r="L30" i="8"/>
  <c r="D30" i="8"/>
  <c r="H30" i="8"/>
  <c r="G30" i="8"/>
  <c r="J30" i="8"/>
  <c r="F30" i="8"/>
  <c r="C30" i="8"/>
  <c r="N30" i="8"/>
  <c r="E15" i="7"/>
  <c r="O24" i="7"/>
  <c r="G12" i="8"/>
  <c r="K30" i="8"/>
  <c r="J15" i="8"/>
  <c r="J27" i="8"/>
  <c r="J44" i="9"/>
  <c r="H44" i="9"/>
  <c r="N44" i="9"/>
  <c r="F44" i="9"/>
  <c r="E44" i="9"/>
  <c r="D44" i="9"/>
  <c r="C44" i="9"/>
  <c r="M44" i="9"/>
  <c r="L44" i="9"/>
  <c r="K44" i="9"/>
  <c r="G44" i="9"/>
  <c r="O22" i="6"/>
  <c r="B7" i="10" s="1"/>
  <c r="N27" i="7"/>
  <c r="O23" i="9"/>
  <c r="C25" i="9"/>
  <c r="K30" i="9"/>
  <c r="C30" i="9"/>
  <c r="I30" i="9"/>
  <c r="G30" i="9"/>
  <c r="H30" i="9"/>
  <c r="F30" i="9"/>
  <c r="E30" i="9"/>
  <c r="D30" i="9"/>
  <c r="N30" i="9"/>
  <c r="M30" i="9"/>
  <c r="J30" i="9"/>
  <c r="L30" i="9"/>
  <c r="G8" i="4"/>
  <c r="G20" i="4"/>
  <c r="F18" i="5"/>
  <c r="F27" i="5" s="1"/>
  <c r="F15" i="7"/>
  <c r="J12" i="8"/>
  <c r="M30" i="8"/>
  <c r="C35" i="8"/>
  <c r="K12" i="8"/>
  <c r="F29" i="8"/>
  <c r="E31" i="8"/>
  <c r="G35" i="8"/>
  <c r="F12" i="9"/>
  <c r="I31" i="9"/>
  <c r="I44" i="9"/>
  <c r="J27" i="9"/>
  <c r="J15" i="9"/>
  <c r="G15" i="8"/>
  <c r="G27" i="8"/>
  <c r="N15" i="8"/>
  <c r="O8" i="9"/>
  <c r="C27" i="9"/>
  <c r="C15" i="9"/>
  <c r="K15" i="9"/>
  <c r="C27" i="8"/>
  <c r="C15" i="8"/>
  <c r="K27" i="8"/>
  <c r="K15" i="8"/>
  <c r="K27" i="9"/>
  <c r="D15" i="9"/>
  <c r="L15" i="9"/>
  <c r="D27" i="9"/>
  <c r="G15" i="9"/>
  <c r="H15" i="9"/>
  <c r="O24" i="9"/>
  <c r="H15" i="4" l="1"/>
  <c r="I15" i="4" s="1"/>
  <c r="J15" i="4" s="1"/>
  <c r="K15" i="4" s="1"/>
  <c r="E9" i="4"/>
  <c r="F9" i="4" s="1"/>
  <c r="O15" i="7"/>
  <c r="O30" i="8"/>
  <c r="O31" i="9"/>
  <c r="C14" i="7"/>
  <c r="C17" i="7"/>
  <c r="C18" i="7"/>
  <c r="B6" i="2"/>
  <c r="D8" i="4"/>
  <c r="E8" i="4" s="1"/>
  <c r="I18" i="5"/>
  <c r="C13" i="4" s="1"/>
  <c r="C49" i="9"/>
  <c r="C50" i="9" s="1"/>
  <c r="D7" i="9"/>
  <c r="O35" i="8"/>
  <c r="I27" i="5"/>
  <c r="C21" i="4" s="1"/>
  <c r="C49" i="8"/>
  <c r="C50" i="8" s="1"/>
  <c r="D7" i="8"/>
  <c r="O15" i="9"/>
  <c r="C28" i="7"/>
  <c r="D23" i="7"/>
  <c r="D25" i="7" s="1"/>
  <c r="C26" i="7"/>
  <c r="O31" i="8"/>
  <c r="O29" i="9"/>
  <c r="O30" i="9"/>
  <c r="O35" i="9"/>
  <c r="O29" i="8"/>
  <c r="B23" i="11"/>
  <c r="E7" i="4"/>
  <c r="F7" i="4" s="1"/>
  <c r="B26" i="11"/>
  <c r="E11" i="4"/>
  <c r="F11" i="4" s="1"/>
  <c r="C49" i="7"/>
  <c r="C50" i="7" s="1"/>
  <c r="D7" i="7"/>
  <c r="O12" i="9"/>
  <c r="O27" i="7"/>
  <c r="B30" i="11"/>
  <c r="E17" i="4"/>
  <c r="F17" i="4" s="1"/>
  <c r="C11" i="8"/>
  <c r="B22" i="11"/>
  <c r="E6" i="4"/>
  <c r="O27" i="9"/>
  <c r="O15" i="8"/>
  <c r="C28" i="9"/>
  <c r="D23" i="9"/>
  <c r="D25" i="9" s="1"/>
  <c r="C26" i="9"/>
  <c r="O44" i="9"/>
  <c r="O27" i="8"/>
  <c r="C26" i="8"/>
  <c r="D23" i="8"/>
  <c r="D25" i="8" s="1"/>
  <c r="C28" i="8"/>
  <c r="O12" i="8"/>
  <c r="O44" i="8"/>
  <c r="C11" i="9"/>
  <c r="B8" i="2" l="1"/>
  <c r="F8" i="4"/>
  <c r="D28" i="9"/>
  <c r="D26" i="9"/>
  <c r="D32" i="9" s="1"/>
  <c r="D42" i="9" s="1"/>
  <c r="E23" i="9"/>
  <c r="E25" i="9" s="1"/>
  <c r="D9" i="7"/>
  <c r="B22" i="12"/>
  <c r="D22" i="12" s="1"/>
  <c r="D21" i="4"/>
  <c r="D6" i="2"/>
  <c r="D9" i="9"/>
  <c r="D10" i="9"/>
  <c r="D11" i="9"/>
  <c r="C18" i="8"/>
  <c r="C17" i="8"/>
  <c r="C14" i="8"/>
  <c r="D26" i="8"/>
  <c r="D28" i="8"/>
  <c r="E23" i="8"/>
  <c r="E25" i="8" s="1"/>
  <c r="C32" i="8"/>
  <c r="D28" i="7"/>
  <c r="E23" i="7"/>
  <c r="E25" i="7" s="1"/>
  <c r="D26" i="7"/>
  <c r="D32" i="7" s="1"/>
  <c r="D42" i="7" s="1"/>
  <c r="C32" i="7"/>
  <c r="C18" i="9"/>
  <c r="C17" i="9"/>
  <c r="C14" i="9"/>
  <c r="C32" i="9"/>
  <c r="F6" i="4"/>
  <c r="D9" i="8"/>
  <c r="D10" i="8" s="1"/>
  <c r="D13" i="4"/>
  <c r="E13" i="4" s="1"/>
  <c r="F13" i="4" s="1"/>
  <c r="C16" i="7"/>
  <c r="D49" i="8" l="1"/>
  <c r="D50" i="8" s="1"/>
  <c r="E7" i="8"/>
  <c r="D11" i="8"/>
  <c r="D49" i="9"/>
  <c r="D50" i="9" s="1"/>
  <c r="E7" i="9"/>
  <c r="D10" i="7"/>
  <c r="C16" i="9"/>
  <c r="D32" i="8"/>
  <c r="D42" i="8" s="1"/>
  <c r="C40" i="7"/>
  <c r="C19" i="7"/>
  <c r="C42" i="7"/>
  <c r="C42" i="8"/>
  <c r="F23" i="8"/>
  <c r="F25" i="8" s="1"/>
  <c r="E26" i="8"/>
  <c r="E28" i="8"/>
  <c r="D17" i="9"/>
  <c r="D14" i="9"/>
  <c r="D16" i="9" s="1"/>
  <c r="D18" i="9"/>
  <c r="C16" i="8"/>
  <c r="E28" i="9"/>
  <c r="F23" i="9"/>
  <c r="F25" i="9" s="1"/>
  <c r="E26" i="9"/>
  <c r="E26" i="7"/>
  <c r="E28" i="7"/>
  <c r="F23" i="7"/>
  <c r="F25" i="7" s="1"/>
  <c r="E21" i="4"/>
  <c r="F21" i="4" s="1"/>
  <c r="D8" i="2"/>
  <c r="C42" i="9"/>
  <c r="E32" i="8" l="1"/>
  <c r="E42" i="8" s="1"/>
  <c r="F28" i="8"/>
  <c r="G23" i="8"/>
  <c r="G25" i="8" s="1"/>
  <c r="F26" i="8"/>
  <c r="C20" i="7"/>
  <c r="E9" i="9"/>
  <c r="E32" i="7"/>
  <c r="D14" i="8"/>
  <c r="D18" i="8"/>
  <c r="D17" i="8"/>
  <c r="F26" i="7"/>
  <c r="G23" i="7"/>
  <c r="G25" i="7" s="1"/>
  <c r="F28" i="7"/>
  <c r="E32" i="9"/>
  <c r="F28" i="9"/>
  <c r="F26" i="9"/>
  <c r="F32" i="9" s="1"/>
  <c r="F42" i="9" s="1"/>
  <c r="G23" i="9"/>
  <c r="G25" i="9" s="1"/>
  <c r="C40" i="9"/>
  <c r="C19" i="9"/>
  <c r="C19" i="8"/>
  <c r="C40" i="8"/>
  <c r="D49" i="7"/>
  <c r="D50" i="7" s="1"/>
  <c r="E7" i="7"/>
  <c r="D11" i="7"/>
  <c r="D40" i="9"/>
  <c r="D19" i="9"/>
  <c r="D20" i="9" s="1"/>
  <c r="E9" i="8"/>
  <c r="D41" i="9" l="1"/>
  <c r="D21" i="9"/>
  <c r="G28" i="8"/>
  <c r="G26" i="8"/>
  <c r="H23" i="8"/>
  <c r="H25" i="8" s="1"/>
  <c r="E42" i="7"/>
  <c r="G26" i="9"/>
  <c r="G28" i="9"/>
  <c r="H23" i="9"/>
  <c r="H25" i="9" s="1"/>
  <c r="C20" i="8"/>
  <c r="D16" i="8"/>
  <c r="D14" i="7"/>
  <c r="D17" i="7"/>
  <c r="D18" i="7"/>
  <c r="E9" i="7"/>
  <c r="E10" i="7"/>
  <c r="E11" i="7" s="1"/>
  <c r="C41" i="7"/>
  <c r="C21" i="7"/>
  <c r="E10" i="9"/>
  <c r="E10" i="8"/>
  <c r="H23" i="7"/>
  <c r="H25" i="7" s="1"/>
  <c r="G26" i="7"/>
  <c r="G28" i="7"/>
  <c r="C20" i="9"/>
  <c r="E42" i="9"/>
  <c r="F32" i="7"/>
  <c r="F42" i="7" s="1"/>
  <c r="F32" i="8"/>
  <c r="F42" i="8" s="1"/>
  <c r="H26" i="8" l="1"/>
  <c r="H32" i="8" s="1"/>
  <c r="H42" i="8" s="1"/>
  <c r="I23" i="8"/>
  <c r="I25" i="8" s="1"/>
  <c r="H28" i="8"/>
  <c r="G32" i="9"/>
  <c r="D16" i="7"/>
  <c r="G32" i="8"/>
  <c r="H28" i="9"/>
  <c r="H26" i="9"/>
  <c r="I23" i="9"/>
  <c r="I25" i="9" s="1"/>
  <c r="C33" i="7"/>
  <c r="C22" i="7"/>
  <c r="H26" i="7"/>
  <c r="H28" i="7"/>
  <c r="I23" i="7"/>
  <c r="I25" i="7" s="1"/>
  <c r="E49" i="8"/>
  <c r="E50" i="8" s="1"/>
  <c r="F7" i="8"/>
  <c r="E11" i="8"/>
  <c r="E49" i="9"/>
  <c r="E50" i="9" s="1"/>
  <c r="F7" i="9"/>
  <c r="E11" i="9"/>
  <c r="E49" i="7"/>
  <c r="E50" i="7" s="1"/>
  <c r="F7" i="7"/>
  <c r="D40" i="8"/>
  <c r="D19" i="8"/>
  <c r="D33" i="9"/>
  <c r="D22" i="9"/>
  <c r="E18" i="7"/>
  <c r="E17" i="7"/>
  <c r="E14" i="7"/>
  <c r="E16" i="7" s="1"/>
  <c r="G32" i="7"/>
  <c r="G42" i="7" s="1"/>
  <c r="C45" i="7"/>
  <c r="C41" i="9"/>
  <c r="C21" i="9"/>
  <c r="C41" i="8"/>
  <c r="C21" i="8"/>
  <c r="D20" i="8" l="1"/>
  <c r="G42" i="8"/>
  <c r="F9" i="8"/>
  <c r="F10" i="8" s="1"/>
  <c r="D40" i="7"/>
  <c r="D19" i="7"/>
  <c r="E40" i="7"/>
  <c r="E19" i="7"/>
  <c r="E20" i="7" s="1"/>
  <c r="F9" i="7"/>
  <c r="F10" i="7" s="1"/>
  <c r="F11" i="7" s="1"/>
  <c r="E5" i="11"/>
  <c r="C36" i="7"/>
  <c r="C34" i="7"/>
  <c r="G42" i="9"/>
  <c r="C22" i="8"/>
  <c r="C33" i="8"/>
  <c r="C45" i="8"/>
  <c r="C45" i="9"/>
  <c r="C47" i="7"/>
  <c r="I26" i="7"/>
  <c r="J23" i="7"/>
  <c r="J25" i="7" s="1"/>
  <c r="I28" i="7"/>
  <c r="I28" i="9"/>
  <c r="J23" i="9"/>
  <c r="J25" i="9" s="1"/>
  <c r="I26" i="9"/>
  <c r="G6" i="11"/>
  <c r="D36" i="9"/>
  <c r="D34" i="9"/>
  <c r="E18" i="9"/>
  <c r="E14" i="9"/>
  <c r="E17" i="9"/>
  <c r="H32" i="9"/>
  <c r="H42" i="9" s="1"/>
  <c r="E17" i="8"/>
  <c r="E18" i="8"/>
  <c r="E14" i="8"/>
  <c r="C22" i="9"/>
  <c r="C33" i="9"/>
  <c r="F9" i="9"/>
  <c r="F10" i="9" s="1"/>
  <c r="H32" i="7"/>
  <c r="I28" i="8"/>
  <c r="J23" i="8"/>
  <c r="J25" i="8" s="1"/>
  <c r="I26" i="8"/>
  <c r="E41" i="7" l="1"/>
  <c r="E21" i="7"/>
  <c r="F49" i="9"/>
  <c r="F50" i="9" s="1"/>
  <c r="G7" i="9"/>
  <c r="F11" i="9"/>
  <c r="F49" i="8"/>
  <c r="F50" i="8" s="1"/>
  <c r="G7" i="8"/>
  <c r="F11" i="8"/>
  <c r="C47" i="8"/>
  <c r="D41" i="8"/>
  <c r="D21" i="8"/>
  <c r="H42" i="7"/>
  <c r="J28" i="7"/>
  <c r="K23" i="7"/>
  <c r="K25" i="7" s="1"/>
  <c r="J26" i="7"/>
  <c r="E16" i="8"/>
  <c r="I32" i="7"/>
  <c r="C37" i="7"/>
  <c r="C38" i="7" s="1"/>
  <c r="D37" i="9"/>
  <c r="E43" i="9" s="1"/>
  <c r="I5" i="11"/>
  <c r="D46" i="7"/>
  <c r="F5" i="11"/>
  <c r="C36" i="8"/>
  <c r="C34" i="8"/>
  <c r="F18" i="7"/>
  <c r="F17" i="7"/>
  <c r="F14" i="7"/>
  <c r="F49" i="7"/>
  <c r="F50" i="7" s="1"/>
  <c r="G7" i="7"/>
  <c r="D20" i="7"/>
  <c r="I32" i="8"/>
  <c r="I32" i="9"/>
  <c r="I42" i="9" s="1"/>
  <c r="J28" i="8"/>
  <c r="K23" i="8"/>
  <c r="K25" i="8" s="1"/>
  <c r="J26" i="8"/>
  <c r="C36" i="9"/>
  <c r="C34" i="9"/>
  <c r="G5" i="11"/>
  <c r="K23" i="9"/>
  <c r="K25" i="9" s="1"/>
  <c r="J28" i="9"/>
  <c r="J26" i="9"/>
  <c r="C47" i="9"/>
  <c r="E16" i="9"/>
  <c r="D38" i="9" l="1"/>
  <c r="F17" i="8"/>
  <c r="F18" i="8"/>
  <c r="F14" i="8"/>
  <c r="C37" i="8"/>
  <c r="E40" i="8"/>
  <c r="E19" i="8"/>
  <c r="G9" i="8"/>
  <c r="G10" i="8" s="1"/>
  <c r="I42" i="7"/>
  <c r="F18" i="9"/>
  <c r="F14" i="9"/>
  <c r="F17" i="9"/>
  <c r="I42" i="8"/>
  <c r="D22" i="8"/>
  <c r="D33" i="8"/>
  <c r="D46" i="9"/>
  <c r="K5" i="11"/>
  <c r="C37" i="9"/>
  <c r="D41" i="7"/>
  <c r="D21" i="7"/>
  <c r="F16" i="7"/>
  <c r="D43" i="7"/>
  <c r="G9" i="9"/>
  <c r="G10" i="9" s="1"/>
  <c r="K28" i="9"/>
  <c r="L23" i="9"/>
  <c r="L25" i="9" s="1"/>
  <c r="K26" i="9"/>
  <c r="J32" i="8"/>
  <c r="J42" i="8" s="1"/>
  <c r="J32" i="7"/>
  <c r="J42" i="7" s="1"/>
  <c r="J32" i="9"/>
  <c r="K26" i="8"/>
  <c r="K28" i="8"/>
  <c r="L23" i="8"/>
  <c r="L25" i="8" s="1"/>
  <c r="G9" i="7"/>
  <c r="G10" i="7"/>
  <c r="K28" i="7"/>
  <c r="L23" i="7"/>
  <c r="L25" i="7" s="1"/>
  <c r="K26" i="7"/>
  <c r="J5" i="11"/>
  <c r="D46" i="8"/>
  <c r="E33" i="7"/>
  <c r="E22" i="7"/>
  <c r="E40" i="9"/>
  <c r="E19" i="9"/>
  <c r="K32" i="8" l="1"/>
  <c r="K42" i="8" s="1"/>
  <c r="K32" i="9"/>
  <c r="K42" i="9" s="1"/>
  <c r="G49" i="8"/>
  <c r="G50" i="8" s="1"/>
  <c r="H7" i="8"/>
  <c r="G11" i="8"/>
  <c r="K32" i="7"/>
  <c r="F16" i="8"/>
  <c r="L28" i="7"/>
  <c r="M23" i="7"/>
  <c r="M25" i="7" s="1"/>
  <c r="L26" i="7"/>
  <c r="E20" i="8"/>
  <c r="J42" i="9"/>
  <c r="D43" i="9"/>
  <c r="E20" i="9"/>
  <c r="D43" i="8"/>
  <c r="H7" i="9"/>
  <c r="G49" i="9"/>
  <c r="G50" i="9" s="1"/>
  <c r="G49" i="7"/>
  <c r="G50" i="7" s="1"/>
  <c r="H7" i="7"/>
  <c r="M23" i="9"/>
  <c r="M25" i="9" s="1"/>
  <c r="L28" i="9"/>
  <c r="L26" i="9"/>
  <c r="L32" i="9" s="1"/>
  <c r="L42" i="9" s="1"/>
  <c r="G11" i="7"/>
  <c r="C38" i="8"/>
  <c r="F19" i="7"/>
  <c r="F40" i="7"/>
  <c r="D45" i="7"/>
  <c r="D36" i="8"/>
  <c r="F6" i="11"/>
  <c r="D34" i="8"/>
  <c r="E7" i="11"/>
  <c r="E34" i="7"/>
  <c r="E36" i="7"/>
  <c r="C38" i="9"/>
  <c r="L26" i="8"/>
  <c r="M23" i="8"/>
  <c r="M25" i="8" s="1"/>
  <c r="L28" i="8"/>
  <c r="G11" i="9"/>
  <c r="D22" i="7"/>
  <c r="D33" i="7"/>
  <c r="F16" i="9"/>
  <c r="L32" i="7" l="1"/>
  <c r="L42" i="7" s="1"/>
  <c r="M28" i="8"/>
  <c r="M26" i="8"/>
  <c r="M32" i="8" s="1"/>
  <c r="M42" i="8" s="1"/>
  <c r="N23" i="8"/>
  <c r="N25" i="8" s="1"/>
  <c r="M28" i="9"/>
  <c r="N23" i="9"/>
  <c r="N25" i="9" s="1"/>
  <c r="M26" i="9"/>
  <c r="M32" i="9" s="1"/>
  <c r="M42" i="9" s="1"/>
  <c r="L32" i="8"/>
  <c r="L42" i="8" s="1"/>
  <c r="H9" i="7"/>
  <c r="H10" i="7" s="1"/>
  <c r="H11" i="7" s="1"/>
  <c r="F20" i="7"/>
  <c r="F19" i="8"/>
  <c r="F40" i="8"/>
  <c r="G14" i="9"/>
  <c r="G18" i="9"/>
  <c r="G17" i="9"/>
  <c r="H9" i="8"/>
  <c r="H10" i="8"/>
  <c r="H11" i="8" s="1"/>
  <c r="D45" i="8"/>
  <c r="F40" i="9"/>
  <c r="F19" i="9"/>
  <c r="M26" i="7"/>
  <c r="M28" i="7"/>
  <c r="N23" i="7"/>
  <c r="N25" i="7" s="1"/>
  <c r="D37" i="8"/>
  <c r="D38" i="8" s="1"/>
  <c r="D47" i="7"/>
  <c r="E41" i="9"/>
  <c r="E21" i="9"/>
  <c r="K42" i="7"/>
  <c r="D45" i="9"/>
  <c r="E6" i="11"/>
  <c r="D36" i="7"/>
  <c r="D34" i="7"/>
  <c r="E37" i="7"/>
  <c r="F43" i="7" s="1"/>
  <c r="H9" i="9"/>
  <c r="H10" i="9"/>
  <c r="E41" i="8"/>
  <c r="E21" i="8"/>
  <c r="G18" i="7"/>
  <c r="G14" i="7"/>
  <c r="G17" i="7"/>
  <c r="G14" i="8"/>
  <c r="G18" i="8"/>
  <c r="G17" i="8"/>
  <c r="M32" i="7" l="1"/>
  <c r="M42" i="7" s="1"/>
  <c r="H18" i="8"/>
  <c r="H14" i="8"/>
  <c r="H16" i="8" s="1"/>
  <c r="H17" i="8"/>
  <c r="I7" i="9"/>
  <c r="H49" i="9"/>
  <c r="H50" i="9" s="1"/>
  <c r="D47" i="8"/>
  <c r="G16" i="9"/>
  <c r="H49" i="7"/>
  <c r="H50" i="7" s="1"/>
  <c r="I7" i="7"/>
  <c r="H11" i="9"/>
  <c r="E46" i="7"/>
  <c r="I6" i="11"/>
  <c r="G16" i="7"/>
  <c r="E38" i="7"/>
  <c r="H14" i="4"/>
  <c r="I14" i="4" s="1"/>
  <c r="J14" i="4" s="1"/>
  <c r="K14" i="4" s="1"/>
  <c r="D38" i="7"/>
  <c r="D37" i="7"/>
  <c r="N26" i="7"/>
  <c r="N28" i="7"/>
  <c r="O25" i="7"/>
  <c r="C14" i="10" s="1"/>
  <c r="F20" i="8"/>
  <c r="O25" i="9"/>
  <c r="E14" i="10" s="1"/>
  <c r="N28" i="9"/>
  <c r="O28" i="9" s="1"/>
  <c r="N26" i="9"/>
  <c r="D47" i="9"/>
  <c r="H49" i="8"/>
  <c r="H50" i="8" s="1"/>
  <c r="I7" i="8"/>
  <c r="F20" i="9"/>
  <c r="F41" i="7"/>
  <c r="F21" i="7"/>
  <c r="G16" i="8"/>
  <c r="H18" i="7"/>
  <c r="H17" i="7"/>
  <c r="H14" i="7"/>
  <c r="H16" i="7" s="1"/>
  <c r="E45" i="9"/>
  <c r="E33" i="8"/>
  <c r="E22" i="8"/>
  <c r="E43" i="8"/>
  <c r="E45" i="8"/>
  <c r="E33" i="9"/>
  <c r="E22" i="9"/>
  <c r="N28" i="8"/>
  <c r="O28" i="8" s="1"/>
  <c r="O25" i="8"/>
  <c r="D14" i="10" s="1"/>
  <c r="N26" i="8"/>
  <c r="F14" i="10" l="1"/>
  <c r="H17" i="9"/>
  <c r="H14" i="9"/>
  <c r="H16" i="9" s="1"/>
  <c r="H18" i="9"/>
  <c r="F22" i="7"/>
  <c r="F33" i="7"/>
  <c r="F45" i="7"/>
  <c r="H19" i="7"/>
  <c r="H20" i="7" s="1"/>
  <c r="H40" i="7"/>
  <c r="F41" i="9"/>
  <c r="F21" i="9"/>
  <c r="N32" i="9"/>
  <c r="O26" i="9"/>
  <c r="N32" i="7"/>
  <c r="O26" i="7"/>
  <c r="I9" i="9"/>
  <c r="I10" i="9" s="1"/>
  <c r="I11" i="9" s="1"/>
  <c r="N32" i="8"/>
  <c r="O26" i="8"/>
  <c r="G40" i="7"/>
  <c r="G19" i="7"/>
  <c r="I9" i="7"/>
  <c r="I10" i="7" s="1"/>
  <c r="F7" i="11"/>
  <c r="E36" i="8"/>
  <c r="E34" i="8"/>
  <c r="O28" i="7"/>
  <c r="H16" i="4"/>
  <c r="I16" i="4" s="1"/>
  <c r="J16" i="4" s="1"/>
  <c r="K16" i="4" s="1"/>
  <c r="I9" i="8"/>
  <c r="I10" i="8" s="1"/>
  <c r="G14" i="10"/>
  <c r="E43" i="7"/>
  <c r="F41" i="8"/>
  <c r="F21" i="8"/>
  <c r="H40" i="8"/>
  <c r="H19" i="8"/>
  <c r="H20" i="8" s="1"/>
  <c r="J6" i="11"/>
  <c r="E46" i="8"/>
  <c r="E47" i="8" s="1"/>
  <c r="E36" i="9"/>
  <c r="E34" i="9"/>
  <c r="G7" i="11"/>
  <c r="G19" i="8"/>
  <c r="G40" i="8"/>
  <c r="E46" i="9"/>
  <c r="E47" i="9" s="1"/>
  <c r="K6" i="11"/>
  <c r="G40" i="9"/>
  <c r="G19" i="9"/>
  <c r="H41" i="7" l="1"/>
  <c r="H21" i="7"/>
  <c r="I49" i="7"/>
  <c r="I50" i="7" s="1"/>
  <c r="J7" i="7"/>
  <c r="I11" i="7"/>
  <c r="J7" i="8"/>
  <c r="I49" i="8"/>
  <c r="I50" i="8" s="1"/>
  <c r="I11" i="8"/>
  <c r="H41" i="8"/>
  <c r="H21" i="8"/>
  <c r="G20" i="9"/>
  <c r="G20" i="8"/>
  <c r="N42" i="8"/>
  <c r="O42" i="8" s="1"/>
  <c r="O32" i="8"/>
  <c r="D8" i="10" s="1"/>
  <c r="F8" i="10" s="1"/>
  <c r="N42" i="9"/>
  <c r="O42" i="9" s="1"/>
  <c r="O32" i="9"/>
  <c r="E8" i="10" s="1"/>
  <c r="F46" i="8"/>
  <c r="J7" i="11"/>
  <c r="N42" i="7"/>
  <c r="O42" i="7" s="1"/>
  <c r="O32" i="7"/>
  <c r="C8" i="10" s="1"/>
  <c r="H20" i="4"/>
  <c r="I20" i="4" s="1"/>
  <c r="J20" i="4" s="1"/>
  <c r="K20" i="4" s="1"/>
  <c r="H20" i="9"/>
  <c r="H41" i="9" s="1"/>
  <c r="J7" i="9"/>
  <c r="I49" i="9"/>
  <c r="I50" i="9" s="1"/>
  <c r="E45" i="7"/>
  <c r="F33" i="9"/>
  <c r="F22" i="9"/>
  <c r="E8" i="11"/>
  <c r="F34" i="7"/>
  <c r="F36" i="7"/>
  <c r="I14" i="9"/>
  <c r="I16" i="9" s="1"/>
  <c r="I18" i="9"/>
  <c r="I17" i="9"/>
  <c r="F46" i="9"/>
  <c r="K7" i="11"/>
  <c r="E37" i="9"/>
  <c r="E38" i="9" s="1"/>
  <c r="G20" i="7"/>
  <c r="F22" i="8"/>
  <c r="F33" i="8"/>
  <c r="E37" i="8"/>
  <c r="E38" i="8" s="1"/>
  <c r="H19" i="9"/>
  <c r="H40" i="9"/>
  <c r="G8" i="11" l="1"/>
  <c r="F36" i="9"/>
  <c r="F34" i="9"/>
  <c r="J9" i="8"/>
  <c r="J10" i="8" s="1"/>
  <c r="J11" i="8" s="1"/>
  <c r="I19" i="9"/>
  <c r="I20" i="9" s="1"/>
  <c r="I41" i="9" s="1"/>
  <c r="I40" i="9"/>
  <c r="F37" i="7"/>
  <c r="F38" i="7" s="1"/>
  <c r="I18" i="7"/>
  <c r="I14" i="7"/>
  <c r="I17" i="7"/>
  <c r="F43" i="9"/>
  <c r="E47" i="7"/>
  <c r="J9" i="7"/>
  <c r="J10" i="7" s="1"/>
  <c r="I17" i="8"/>
  <c r="I14" i="8"/>
  <c r="I16" i="8" s="1"/>
  <c r="I18" i="8"/>
  <c r="F34" i="8"/>
  <c r="F8" i="11"/>
  <c r="F36" i="8"/>
  <c r="H21" i="9"/>
  <c r="J9" i="9"/>
  <c r="J10" i="9" s="1"/>
  <c r="G41" i="9"/>
  <c r="G21" i="9"/>
  <c r="G41" i="8"/>
  <c r="G21" i="8"/>
  <c r="G41" i="7"/>
  <c r="G21" i="7"/>
  <c r="H22" i="8"/>
  <c r="H33" i="8"/>
  <c r="H22" i="7"/>
  <c r="H33" i="7"/>
  <c r="F43" i="8"/>
  <c r="F45" i="8" s="1"/>
  <c r="G8" i="10"/>
  <c r="J17" i="8" l="1"/>
  <c r="J18" i="8"/>
  <c r="J14" i="8"/>
  <c r="J16" i="8" s="1"/>
  <c r="J49" i="9"/>
  <c r="J50" i="9" s="1"/>
  <c r="K7" i="9"/>
  <c r="J11" i="9"/>
  <c r="G22" i="7"/>
  <c r="G33" i="7"/>
  <c r="J49" i="7"/>
  <c r="J50" i="7" s="1"/>
  <c r="K7" i="7"/>
  <c r="J49" i="8"/>
  <c r="J50" i="8" s="1"/>
  <c r="K7" i="8"/>
  <c r="F46" i="7"/>
  <c r="F47" i="7" s="1"/>
  <c r="I7" i="11"/>
  <c r="G22" i="8"/>
  <c r="G33" i="8"/>
  <c r="I40" i="8"/>
  <c r="I19" i="8"/>
  <c r="F45" i="9"/>
  <c r="F37" i="9"/>
  <c r="F38" i="9" s="1"/>
  <c r="F10" i="11"/>
  <c r="H36" i="8"/>
  <c r="H34" i="8"/>
  <c r="H33" i="9"/>
  <c r="H22" i="9"/>
  <c r="I20" i="8"/>
  <c r="I41" i="8" s="1"/>
  <c r="I21" i="9"/>
  <c r="J11" i="7"/>
  <c r="I16" i="7"/>
  <c r="G43" i="7"/>
  <c r="G45" i="7" s="1"/>
  <c r="E10" i="11"/>
  <c r="H34" i="7"/>
  <c r="H36" i="7"/>
  <c r="F47" i="8"/>
  <c r="G22" i="9"/>
  <c r="G33" i="9"/>
  <c r="F37" i="8"/>
  <c r="I40" i="7" l="1"/>
  <c r="I19" i="7"/>
  <c r="D11" i="11"/>
  <c r="K9" i="8"/>
  <c r="K10" i="8" s="1"/>
  <c r="G10" i="11"/>
  <c r="H34" i="9"/>
  <c r="H36" i="9"/>
  <c r="F47" i="9"/>
  <c r="F9" i="11"/>
  <c r="G34" i="8"/>
  <c r="G36" i="8"/>
  <c r="J17" i="9"/>
  <c r="J18" i="9"/>
  <c r="J14" i="9"/>
  <c r="J16" i="9" s="1"/>
  <c r="J20" i="8"/>
  <c r="J41" i="8" s="1"/>
  <c r="G43" i="8"/>
  <c r="G45" i="8" s="1"/>
  <c r="I22" i="9"/>
  <c r="I33" i="9"/>
  <c r="H37" i="8"/>
  <c r="I43" i="8" s="1"/>
  <c r="I45" i="8" s="1"/>
  <c r="K9" i="7"/>
  <c r="K10" i="7" s="1"/>
  <c r="K11" i="7" s="1"/>
  <c r="K9" i="9"/>
  <c r="K10" i="9" s="1"/>
  <c r="G34" i="7"/>
  <c r="G36" i="7"/>
  <c r="E9" i="11"/>
  <c r="J14" i="7"/>
  <c r="J17" i="7"/>
  <c r="J18" i="7"/>
  <c r="H37" i="7"/>
  <c r="I43" i="7" s="1"/>
  <c r="I8" i="11"/>
  <c r="G46" i="7"/>
  <c r="G47" i="7" s="1"/>
  <c r="I21" i="8"/>
  <c r="J19" i="8"/>
  <c r="J40" i="8"/>
  <c r="J8" i="11"/>
  <c r="G46" i="8"/>
  <c r="F38" i="8"/>
  <c r="G34" i="9"/>
  <c r="G36" i="9"/>
  <c r="G9" i="11"/>
  <c r="G43" i="9"/>
  <c r="G47" i="8" l="1"/>
  <c r="L7" i="9"/>
  <c r="K49" i="9"/>
  <c r="K50" i="9" s="1"/>
  <c r="K11" i="9"/>
  <c r="J9" i="11"/>
  <c r="H46" i="8"/>
  <c r="K49" i="8"/>
  <c r="K50" i="8" s="1"/>
  <c r="L7" i="8"/>
  <c r="G45" i="9"/>
  <c r="J40" i="9"/>
  <c r="J19" i="9"/>
  <c r="G37" i="7"/>
  <c r="G38" i="7" s="1"/>
  <c r="H38" i="8"/>
  <c r="J20" i="9"/>
  <c r="H37" i="9"/>
  <c r="I43" i="9" s="1"/>
  <c r="I45" i="9" s="1"/>
  <c r="K14" i="7"/>
  <c r="K16" i="7" s="1"/>
  <c r="K17" i="7"/>
  <c r="K18" i="7"/>
  <c r="I36" i="9"/>
  <c r="G11" i="11"/>
  <c r="I34" i="9"/>
  <c r="J21" i="8"/>
  <c r="G37" i="8"/>
  <c r="G38" i="8" s="1"/>
  <c r="I9" i="11"/>
  <c r="H46" i="7"/>
  <c r="G37" i="9"/>
  <c r="H38" i="7"/>
  <c r="I33" i="8"/>
  <c r="I22" i="8"/>
  <c r="K11" i="8"/>
  <c r="I20" i="7"/>
  <c r="K49" i="7"/>
  <c r="K50" i="7" s="1"/>
  <c r="L7" i="7"/>
  <c r="K8" i="11"/>
  <c r="G46" i="9"/>
  <c r="J16" i="7"/>
  <c r="I41" i="7" l="1"/>
  <c r="I21" i="7"/>
  <c r="L9" i="8"/>
  <c r="L10" i="8"/>
  <c r="L11" i="8" s="1"/>
  <c r="F11" i="11"/>
  <c r="I34" i="8"/>
  <c r="I36" i="8"/>
  <c r="J40" i="7"/>
  <c r="J19" i="7"/>
  <c r="D12" i="11"/>
  <c r="H43" i="8"/>
  <c r="H45" i="8" s="1"/>
  <c r="H43" i="7"/>
  <c r="H45" i="7" s="1"/>
  <c r="H47" i="7" s="1"/>
  <c r="H47" i="8"/>
  <c r="J41" i="9"/>
  <c r="I37" i="9"/>
  <c r="J43" i="9" s="1"/>
  <c r="J45" i="9" s="1"/>
  <c r="H43" i="9"/>
  <c r="H45" i="9" s="1"/>
  <c r="K18" i="8"/>
  <c r="K17" i="8"/>
  <c r="K14" i="8"/>
  <c r="K16" i="8" s="1"/>
  <c r="G38" i="9"/>
  <c r="K40" i="7"/>
  <c r="K19" i="7"/>
  <c r="K20" i="7" s="1"/>
  <c r="D13" i="11"/>
  <c r="G47" i="9"/>
  <c r="J33" i="8"/>
  <c r="J22" i="8"/>
  <c r="K18" i="9"/>
  <c r="K14" i="9"/>
  <c r="K16" i="9" s="1"/>
  <c r="K17" i="9"/>
  <c r="L9" i="7"/>
  <c r="L10" i="7" s="1"/>
  <c r="L9" i="9"/>
  <c r="L10" i="9" s="1"/>
  <c r="J21" i="9"/>
  <c r="H38" i="9"/>
  <c r="L49" i="9" l="1"/>
  <c r="L50" i="9" s="1"/>
  <c r="M7" i="9"/>
  <c r="L11" i="9"/>
  <c r="I10" i="11"/>
  <c r="I46" i="7"/>
  <c r="L14" i="8"/>
  <c r="L16" i="8" s="1"/>
  <c r="L18" i="8"/>
  <c r="L17" i="8"/>
  <c r="L49" i="7"/>
  <c r="L50" i="7" s="1"/>
  <c r="M7" i="7"/>
  <c r="L11" i="7"/>
  <c r="K41" i="7"/>
  <c r="K21" i="7"/>
  <c r="J10" i="11"/>
  <c r="I46" i="8"/>
  <c r="I47" i="8" s="1"/>
  <c r="J20" i="7"/>
  <c r="I22" i="7"/>
  <c r="I33" i="7"/>
  <c r="F12" i="11"/>
  <c r="J34" i="8"/>
  <c r="J36" i="8"/>
  <c r="H46" i="9"/>
  <c r="H47" i="9" s="1"/>
  <c r="K9" i="11"/>
  <c r="L49" i="8"/>
  <c r="L50" i="8" s="1"/>
  <c r="M7" i="8"/>
  <c r="I37" i="8"/>
  <c r="J43" i="8" s="1"/>
  <c r="J45" i="8" s="1"/>
  <c r="K40" i="9"/>
  <c r="K19" i="9"/>
  <c r="K20" i="9" s="1"/>
  <c r="I38" i="9"/>
  <c r="I45" i="7"/>
  <c r="K20" i="8"/>
  <c r="K41" i="8" s="1"/>
  <c r="J33" i="9"/>
  <c r="J22" i="9"/>
  <c r="K19" i="8"/>
  <c r="K40" i="8"/>
  <c r="K41" i="9" l="1"/>
  <c r="K21" i="9"/>
  <c r="L40" i="8"/>
  <c r="L19" i="8"/>
  <c r="L20" i="8" s="1"/>
  <c r="L41" i="8" s="1"/>
  <c r="K33" i="7"/>
  <c r="K22" i="7"/>
  <c r="K21" i="8"/>
  <c r="J46" i="8"/>
  <c r="J47" i="8" s="1"/>
  <c r="J11" i="11"/>
  <c r="M9" i="8"/>
  <c r="M10" i="8" s="1"/>
  <c r="E11" i="11"/>
  <c r="I34" i="7"/>
  <c r="I36" i="7"/>
  <c r="L18" i="9"/>
  <c r="L17" i="9"/>
  <c r="L14" i="9"/>
  <c r="L16" i="9" s="1"/>
  <c r="I38" i="8"/>
  <c r="L14" i="7"/>
  <c r="L17" i="7"/>
  <c r="L18" i="7"/>
  <c r="I47" i="7"/>
  <c r="G12" i="11"/>
  <c r="J36" i="9"/>
  <c r="J34" i="9"/>
  <c r="M9" i="7"/>
  <c r="M10" i="7"/>
  <c r="M11" i="7" s="1"/>
  <c r="K10" i="11"/>
  <c r="I46" i="9"/>
  <c r="I47" i="9" s="1"/>
  <c r="J37" i="8"/>
  <c r="K43" i="8" s="1"/>
  <c r="K45" i="8" s="1"/>
  <c r="J41" i="7"/>
  <c r="J21" i="7"/>
  <c r="M9" i="9"/>
  <c r="M10" i="9" s="1"/>
  <c r="N7" i="9" l="1"/>
  <c r="M49" i="9"/>
  <c r="M50" i="9" s="1"/>
  <c r="M11" i="9"/>
  <c r="M49" i="8"/>
  <c r="M50" i="8" s="1"/>
  <c r="N7" i="8"/>
  <c r="M11" i="8"/>
  <c r="L16" i="7"/>
  <c r="K22" i="8"/>
  <c r="K33" i="8"/>
  <c r="L40" i="9"/>
  <c r="L19" i="9"/>
  <c r="L20" i="9" s="1"/>
  <c r="L41" i="9" s="1"/>
  <c r="K22" i="9"/>
  <c r="K33" i="9"/>
  <c r="J38" i="8"/>
  <c r="I37" i="7"/>
  <c r="I38" i="7" s="1"/>
  <c r="J37" i="9"/>
  <c r="K43" i="9" s="1"/>
  <c r="K45" i="9" s="1"/>
  <c r="L21" i="8"/>
  <c r="M18" i="7"/>
  <c r="M17" i="7"/>
  <c r="M14" i="7"/>
  <c r="M16" i="7" s="1"/>
  <c r="J12" i="11"/>
  <c r="K46" i="8"/>
  <c r="K47" i="8" s="1"/>
  <c r="E13" i="11"/>
  <c r="K36" i="7"/>
  <c r="K34" i="7"/>
  <c r="K11" i="11"/>
  <c r="J46" i="9"/>
  <c r="J47" i="9" s="1"/>
  <c r="I11" i="11"/>
  <c r="J46" i="7"/>
  <c r="M49" i="7"/>
  <c r="M50" i="7" s="1"/>
  <c r="N7" i="7"/>
  <c r="J22" i="7"/>
  <c r="J33" i="7"/>
  <c r="M17" i="8" l="1"/>
  <c r="M18" i="8"/>
  <c r="M14" i="8"/>
  <c r="M16" i="8" s="1"/>
  <c r="K37" i="7"/>
  <c r="L43" i="7" s="1"/>
  <c r="K38" i="7"/>
  <c r="N9" i="8"/>
  <c r="O9" i="8" s="1"/>
  <c r="N9" i="7"/>
  <c r="O9" i="7" s="1"/>
  <c r="L22" i="8"/>
  <c r="L33" i="8"/>
  <c r="J13" i="11"/>
  <c r="L46" i="8"/>
  <c r="L21" i="9"/>
  <c r="J38" i="9"/>
  <c r="M20" i="7"/>
  <c r="M41" i="7" s="1"/>
  <c r="F13" i="11"/>
  <c r="K36" i="8"/>
  <c r="K34" i="8"/>
  <c r="M18" i="9"/>
  <c r="M17" i="9"/>
  <c r="M14" i="9"/>
  <c r="M16" i="9" s="1"/>
  <c r="L40" i="7"/>
  <c r="L19" i="7"/>
  <c r="D14" i="11"/>
  <c r="M40" i="7"/>
  <c r="M19" i="7"/>
  <c r="D15" i="11"/>
  <c r="K46" i="9"/>
  <c r="K47" i="9" s="1"/>
  <c r="K12" i="11"/>
  <c r="J43" i="7"/>
  <c r="J45" i="7" s="1"/>
  <c r="J47" i="7" s="1"/>
  <c r="E12" i="11"/>
  <c r="J34" i="7"/>
  <c r="J36" i="7"/>
  <c r="N9" i="9"/>
  <c r="O9" i="9" s="1"/>
  <c r="K36" i="9"/>
  <c r="K34" i="9"/>
  <c r="G13" i="11"/>
  <c r="N10" i="7" l="1"/>
  <c r="I12" i="11"/>
  <c r="K46" i="7"/>
  <c r="K37" i="9"/>
  <c r="L43" i="9" s="1"/>
  <c r="L45" i="9" s="1"/>
  <c r="L47" i="8"/>
  <c r="N10" i="8"/>
  <c r="L33" i="9"/>
  <c r="L22" i="9"/>
  <c r="K37" i="8"/>
  <c r="L43" i="8" s="1"/>
  <c r="L45" i="8" s="1"/>
  <c r="L36" i="8"/>
  <c r="L34" i="8"/>
  <c r="F14" i="11"/>
  <c r="M20" i="9"/>
  <c r="M41" i="9" s="1"/>
  <c r="L46" i="9"/>
  <c r="L47" i="9" s="1"/>
  <c r="K13" i="11"/>
  <c r="L20" i="7"/>
  <c r="N49" i="7"/>
  <c r="O10" i="7"/>
  <c r="C12" i="10" s="1"/>
  <c r="H15" i="2" s="1"/>
  <c r="M40" i="8"/>
  <c r="M19" i="8"/>
  <c r="M20" i="8" s="1"/>
  <c r="J37" i="7"/>
  <c r="K43" i="7" s="1"/>
  <c r="K45" i="7" s="1"/>
  <c r="M21" i="7"/>
  <c r="N10" i="9"/>
  <c r="M40" i="9"/>
  <c r="M19" i="9"/>
  <c r="N11" i="7"/>
  <c r="M21" i="9" l="1"/>
  <c r="K38" i="9"/>
  <c r="K38" i="8"/>
  <c r="C55" i="7"/>
  <c r="B6" i="12" s="1"/>
  <c r="D6" i="12" s="1"/>
  <c r="M41" i="8"/>
  <c r="M45" i="8" s="1"/>
  <c r="M21" i="8"/>
  <c r="M46" i="9"/>
  <c r="K14" i="11"/>
  <c r="G14" i="11"/>
  <c r="L36" i="9"/>
  <c r="L34" i="9"/>
  <c r="N49" i="8"/>
  <c r="O10" i="8"/>
  <c r="N11" i="8"/>
  <c r="N49" i="9"/>
  <c r="O10" i="9"/>
  <c r="N11" i="9"/>
  <c r="M22" i="9"/>
  <c r="M33" i="9"/>
  <c r="J14" i="11"/>
  <c r="M46" i="8"/>
  <c r="N18" i="7"/>
  <c r="N14" i="7"/>
  <c r="N17" i="7"/>
  <c r="O11" i="7"/>
  <c r="M33" i="7"/>
  <c r="M22" i="7"/>
  <c r="N50" i="7"/>
  <c r="O50" i="7" s="1"/>
  <c r="O49" i="7"/>
  <c r="L37" i="8"/>
  <c r="M43" i="8" s="1"/>
  <c r="J38" i="7"/>
  <c r="L41" i="7"/>
  <c r="L45" i="7" s="1"/>
  <c r="L21" i="7"/>
  <c r="K47" i="7"/>
  <c r="M34" i="7" l="1"/>
  <c r="M36" i="7"/>
  <c r="E15" i="11"/>
  <c r="M36" i="9"/>
  <c r="M34" i="9"/>
  <c r="G15" i="11"/>
  <c r="O17" i="7"/>
  <c r="H9" i="4"/>
  <c r="I9" i="4" s="1"/>
  <c r="J9" i="4" s="1"/>
  <c r="K9" i="4" s="1"/>
  <c r="N17" i="9"/>
  <c r="N14" i="9"/>
  <c r="N18" i="9"/>
  <c r="O18" i="9" s="1"/>
  <c r="O11" i="9"/>
  <c r="N16" i="7"/>
  <c r="O14" i="7"/>
  <c r="H6" i="4"/>
  <c r="E12" i="10"/>
  <c r="C55" i="9"/>
  <c r="B16" i="12" s="1"/>
  <c r="D16" i="12" s="1"/>
  <c r="N50" i="8"/>
  <c r="O50" i="8" s="1"/>
  <c r="O49" i="8"/>
  <c r="N50" i="9"/>
  <c r="O50" i="9" s="1"/>
  <c r="O49" i="9"/>
  <c r="L37" i="9"/>
  <c r="M43" i="9" s="1"/>
  <c r="M45" i="9" s="1"/>
  <c r="M47" i="9" s="1"/>
  <c r="O18" i="7"/>
  <c r="H10" i="4"/>
  <c r="I10" i="4" s="1"/>
  <c r="J10" i="4" s="1"/>
  <c r="K10" i="4" s="1"/>
  <c r="I13" i="11"/>
  <c r="L46" i="7"/>
  <c r="L47" i="7" s="1"/>
  <c r="M47" i="8"/>
  <c r="N18" i="8"/>
  <c r="O18" i="8" s="1"/>
  <c r="N17" i="8"/>
  <c r="N14" i="8"/>
  <c r="O11" i="8"/>
  <c r="M33" i="8"/>
  <c r="M22" i="8"/>
  <c r="L38" i="8"/>
  <c r="L33" i="7"/>
  <c r="L22" i="7"/>
  <c r="C13" i="10"/>
  <c r="D12" i="10"/>
  <c r="C55" i="8"/>
  <c r="B11" i="12" s="1"/>
  <c r="D11" i="12" s="1"/>
  <c r="N46" i="9" l="1"/>
  <c r="K15" i="11"/>
  <c r="L38" i="9"/>
  <c r="E14" i="11"/>
  <c r="L36" i="7"/>
  <c r="L34" i="7"/>
  <c r="N46" i="8"/>
  <c r="J15" i="11"/>
  <c r="N19" i="7"/>
  <c r="N40" i="7"/>
  <c r="D16" i="11"/>
  <c r="O16" i="7"/>
  <c r="H8" i="4"/>
  <c r="I8" i="4" s="1"/>
  <c r="I6" i="4"/>
  <c r="J6" i="4" s="1"/>
  <c r="K6" i="4" s="1"/>
  <c r="I14" i="11"/>
  <c r="M46" i="7"/>
  <c r="M37" i="9"/>
  <c r="N43" i="9" s="1"/>
  <c r="O43" i="9" s="1"/>
  <c r="O17" i="8"/>
  <c r="F12" i="10"/>
  <c r="I15" i="2"/>
  <c r="F15" i="11"/>
  <c r="M34" i="8"/>
  <c r="M36" i="8"/>
  <c r="D13" i="10"/>
  <c r="F13" i="10" s="1"/>
  <c r="N16" i="9"/>
  <c r="O14" i="9"/>
  <c r="E13" i="10"/>
  <c r="G13" i="10" s="1"/>
  <c r="O17" i="9"/>
  <c r="M37" i="7"/>
  <c r="N43" i="7" s="1"/>
  <c r="M38" i="7"/>
  <c r="N16" i="8"/>
  <c r="O14" i="8"/>
  <c r="G12" i="10"/>
  <c r="J15" i="2"/>
  <c r="M38" i="9" l="1"/>
  <c r="N40" i="8"/>
  <c r="N19" i="8"/>
  <c r="O16" i="8"/>
  <c r="J8" i="4"/>
  <c r="K8" i="4" s="1"/>
  <c r="F8" i="2" s="1"/>
  <c r="F6" i="2"/>
  <c r="C5" i="10"/>
  <c r="H12" i="2" s="1"/>
  <c r="N40" i="9"/>
  <c r="N19" i="9"/>
  <c r="O16" i="9"/>
  <c r="M37" i="8"/>
  <c r="N43" i="8" s="1"/>
  <c r="O43" i="8" s="1"/>
  <c r="L37" i="7"/>
  <c r="M43" i="7" s="1"/>
  <c r="M45" i="7" s="1"/>
  <c r="M47" i="7" s="1"/>
  <c r="O40" i="7"/>
  <c r="O19" i="7"/>
  <c r="H11" i="4"/>
  <c r="I11" i="4" s="1"/>
  <c r="J11" i="4" s="1"/>
  <c r="K11" i="4" s="1"/>
  <c r="N20" i="7"/>
  <c r="I15" i="11" l="1"/>
  <c r="N46" i="7"/>
  <c r="E5" i="10"/>
  <c r="D5" i="10"/>
  <c r="L38" i="7"/>
  <c r="O19" i="9"/>
  <c r="N20" i="9"/>
  <c r="N41" i="7"/>
  <c r="O20" i="7"/>
  <c r="H12" i="4"/>
  <c r="I12" i="4" s="1"/>
  <c r="J12" i="4" s="1"/>
  <c r="K12" i="4" s="1"/>
  <c r="N21" i="7"/>
  <c r="O19" i="8"/>
  <c r="N20" i="8"/>
  <c r="O40" i="9"/>
  <c r="M38" i="8"/>
  <c r="O43" i="7"/>
  <c r="O40" i="8"/>
  <c r="N41" i="8" l="1"/>
  <c r="O20" i="8"/>
  <c r="N21" i="8"/>
  <c r="F5" i="10"/>
  <c r="I12" i="2"/>
  <c r="N22" i="7"/>
  <c r="N33" i="7"/>
  <c r="O21" i="7"/>
  <c r="H13" i="4"/>
  <c r="I13" i="4" s="1"/>
  <c r="J13" i="4" s="1"/>
  <c r="K13" i="4" s="1"/>
  <c r="G5" i="10"/>
  <c r="J12" i="2"/>
  <c r="N41" i="9"/>
  <c r="O20" i="9"/>
  <c r="N21" i="9"/>
  <c r="N47" i="7"/>
  <c r="O41" i="7"/>
  <c r="N45" i="7"/>
  <c r="I16" i="11" l="1"/>
  <c r="O47" i="7"/>
  <c r="K6" i="2"/>
  <c r="C17" i="10"/>
  <c r="K8" i="2"/>
  <c r="N34" i="7"/>
  <c r="N36" i="7"/>
  <c r="E16" i="11"/>
  <c r="O33" i="7"/>
  <c r="B28" i="12"/>
  <c r="H21" i="4"/>
  <c r="I21" i="4" s="1"/>
  <c r="O41" i="9"/>
  <c r="N45" i="9"/>
  <c r="C19" i="10"/>
  <c r="H19" i="2" s="1"/>
  <c r="O45" i="7"/>
  <c r="N22" i="9"/>
  <c r="N33" i="9"/>
  <c r="O21" i="9"/>
  <c r="N33" i="8"/>
  <c r="N22" i="8"/>
  <c r="O21" i="8"/>
  <c r="C6" i="10"/>
  <c r="O22" i="7"/>
  <c r="C7" i="10" s="1"/>
  <c r="O41" i="8"/>
  <c r="N45" i="8"/>
  <c r="D6" i="10" l="1"/>
  <c r="F6" i="10" s="1"/>
  <c r="O22" i="8"/>
  <c r="D7" i="10" s="1"/>
  <c r="F7" i="10" s="1"/>
  <c r="O45" i="9"/>
  <c r="N47" i="9"/>
  <c r="E19" i="10" s="1"/>
  <c r="J19" i="2" s="1"/>
  <c r="N37" i="7"/>
  <c r="O37" i="7" s="1"/>
  <c r="O36" i="7"/>
  <c r="G16" i="11"/>
  <c r="N36" i="9"/>
  <c r="N34" i="9"/>
  <c r="O33" i="9"/>
  <c r="I6" i="2"/>
  <c r="J21" i="4"/>
  <c r="N34" i="8"/>
  <c r="F16" i="11"/>
  <c r="N36" i="8"/>
  <c r="O33" i="8"/>
  <c r="D19" i="10"/>
  <c r="I19" i="2" s="1"/>
  <c r="O45" i="8"/>
  <c r="N47" i="8"/>
  <c r="O22" i="9"/>
  <c r="E7" i="10" s="1"/>
  <c r="G7" i="10" s="1"/>
  <c r="E6" i="10"/>
  <c r="G6" i="10" s="1"/>
  <c r="C18" i="10"/>
  <c r="H17" i="2"/>
  <c r="C15" i="10"/>
  <c r="H16" i="2" s="1"/>
  <c r="C54" i="7"/>
  <c r="B5" i="12" s="1"/>
  <c r="D5" i="12" s="1"/>
  <c r="C9" i="10"/>
  <c r="H13" i="2" s="1"/>
  <c r="O34" i="7"/>
  <c r="C10" i="10" s="1"/>
  <c r="H14" i="2" s="1"/>
  <c r="C56" i="7"/>
  <c r="B7" i="12" s="1"/>
  <c r="D7" i="12" s="1"/>
  <c r="K21" i="4" l="1"/>
  <c r="I8" i="2"/>
  <c r="N38" i="7"/>
  <c r="O38" i="7" s="1"/>
  <c r="C11" i="10" s="1"/>
  <c r="O34" i="9"/>
  <c r="E10" i="10" s="1"/>
  <c r="E9" i="10"/>
  <c r="C56" i="9"/>
  <c r="B17" i="12" s="1"/>
  <c r="D17" i="12" s="1"/>
  <c r="C54" i="9"/>
  <c r="B15" i="12" s="1"/>
  <c r="D15" i="12" s="1"/>
  <c r="J16" i="11"/>
  <c r="O47" i="8"/>
  <c r="D17" i="10"/>
  <c r="O47" i="9"/>
  <c r="K16" i="11"/>
  <c r="E17" i="10"/>
  <c r="N37" i="9"/>
  <c r="O37" i="9" s="1"/>
  <c r="O36" i="9"/>
  <c r="C58" i="7"/>
  <c r="B9" i="12" s="1"/>
  <c r="D9" i="12" s="1"/>
  <c r="D9" i="10"/>
  <c r="O34" i="8"/>
  <c r="D10" i="10" s="1"/>
  <c r="C56" i="8"/>
  <c r="B12" i="12" s="1"/>
  <c r="D12" i="12" s="1"/>
  <c r="N37" i="8"/>
  <c r="O37" i="8" s="1"/>
  <c r="O36" i="8"/>
  <c r="N38" i="9" l="1"/>
  <c r="O38" i="9" s="1"/>
  <c r="E11" i="10" s="1"/>
  <c r="G11" i="10" s="1"/>
  <c r="N38" i="8"/>
  <c r="O38" i="8" s="1"/>
  <c r="D11" i="10" s="1"/>
  <c r="F11" i="10" s="1"/>
  <c r="C57" i="8"/>
  <c r="B13" i="12" s="1"/>
  <c r="D13" i="12" s="1"/>
  <c r="F10" i="10"/>
  <c r="I14" i="2"/>
  <c r="G9" i="10"/>
  <c r="J13" i="2"/>
  <c r="F9" i="10"/>
  <c r="I13" i="2"/>
  <c r="E15" i="10"/>
  <c r="C58" i="9"/>
  <c r="B19" i="12" s="1"/>
  <c r="D19" i="12" s="1"/>
  <c r="G10" i="10"/>
  <c r="J14" i="2"/>
  <c r="D18" i="10"/>
  <c r="I17" i="2"/>
  <c r="D15" i="10"/>
  <c r="C58" i="8"/>
  <c r="B14" i="12" s="1"/>
  <c r="D14" i="12" s="1"/>
  <c r="E18" i="10"/>
  <c r="J17" i="2"/>
  <c r="C54" i="8"/>
  <c r="B10" i="12" s="1"/>
  <c r="D10" i="12" s="1"/>
  <c r="C57" i="7"/>
  <c r="B8" i="12" s="1"/>
  <c r="D8" i="12" s="1"/>
  <c r="C57" i="9" l="1"/>
  <c r="B18" i="12" s="1"/>
  <c r="D18" i="12" s="1"/>
  <c r="G15" i="10"/>
  <c r="J16" i="2"/>
  <c r="F15" i="10"/>
  <c r="B24" i="12" s="1"/>
  <c r="D24" i="12" s="1"/>
  <c r="B26" i="12" s="1"/>
  <c r="I16" i="2"/>
  <c r="C5" i="1" l="1"/>
  <c r="O3" i="2"/>
</calcChain>
</file>

<file path=xl/sharedStrings.xml><?xml version="1.0" encoding="utf-8"?>
<sst xmlns="http://schemas.openxmlformats.org/spreadsheetml/2006/main" count="771" uniqueCount="284">
  <si>
    <t>Assumptions</t>
  </si>
  <si>
    <t>Blue cells on yellow are inputs. Every driver is documented in the rationale column. Upside / Downside link to Base where a driver is shared.</t>
  </si>
  <si>
    <t>Driver</t>
  </si>
  <si>
    <t>Unit</t>
  </si>
  <si>
    <t>Base</t>
  </si>
  <si>
    <t>Upside</t>
  </si>
  <si>
    <t>Downside</t>
  </si>
  <si>
    <t>Live (selected)</t>
  </si>
  <si>
    <t>Rationale / source (all illustrative)</t>
  </si>
  <si>
    <t>Customers and pricing</t>
  </si>
  <si>
    <t>Opening customers (1 Apr)</t>
  </si>
  <si>
    <t>customers</t>
  </si>
  <si>
    <t>Starting point of the financial year (illustrative).</t>
  </si>
  <si>
    <t>New customers in April</t>
  </si>
  <si>
    <t>customers / month</t>
  </si>
  <si>
    <t>Sales pipeline run-rate; Upside assumes a stronger pipeline, Downside a slower sales cycle.</t>
  </si>
  <si>
    <t>Monthly growth in new customers</t>
  </si>
  <si>
    <t>% per month</t>
  </si>
  <si>
    <t>Compounding monthly growth applied to April's new customers.</t>
  </si>
  <si>
    <t>Monthly churn (share of opening customers)</t>
  </si>
  <si>
    <t>About 19% / 15% / 27% annualised churn; typical range for small-business SaaS.</t>
  </si>
  <si>
    <t>Average revenue per customer per month (ARPA)</t>
  </si>
  <si>
    <t>GBP / month</t>
  </si>
  <si>
    <t>Subscription price mix; Upside includes more premium-plan customers.</t>
  </si>
  <si>
    <t>Price increase</t>
  </si>
  <si>
    <t>%</t>
  </si>
  <si>
    <t>Annual list-price uplift applied to all customers from the month below.</t>
  </si>
  <si>
    <t>Price increase effective month (1 = Apr)</t>
  </si>
  <si>
    <t>month number</t>
  </si>
  <si>
    <t>Effective 1 October.</t>
  </si>
  <si>
    <t>Onboarding fee per new customer</t>
  </si>
  <si>
    <t>GBP</t>
  </si>
  <si>
    <t>One-off implementation fee.</t>
  </si>
  <si>
    <t>Cost of sales</t>
  </si>
  <si>
    <t>Hosting cost per average customer</t>
  </si>
  <si>
    <t>Cloud infrastructure; Downside assumes cost inflation.</t>
  </si>
  <si>
    <t>Customer support cost per average customer</t>
  </si>
  <si>
    <t>Support tooling and outsourced tier-1.</t>
  </si>
  <si>
    <t>Payment processing fees</t>
  </si>
  <si>
    <t>% of revenue</t>
  </si>
  <si>
    <t>Card / direct-debit fees.</t>
  </si>
  <si>
    <t>People and operating costs</t>
  </si>
  <si>
    <t>Opening headcount</t>
  </si>
  <si>
    <t>FTE</t>
  </si>
  <si>
    <t>Hiring plan is set out in the table below.</t>
  </si>
  <si>
    <t>Average salary</t>
  </si>
  <si>
    <t>GBP / year</t>
  </si>
  <si>
    <t>Blended across roles.</t>
  </si>
  <si>
    <t>Employer on-costs (NI, pension, benefits)</t>
  </si>
  <si>
    <t>% of salary</t>
  </si>
  <si>
    <t>Applied to salaries.</t>
  </si>
  <si>
    <t>Marketing spend per new customer (CAC)</t>
  </si>
  <si>
    <t>Acquisition marketing; Downside = less efficient channels.</t>
  </si>
  <si>
    <t>Software and tools per head</t>
  </si>
  <si>
    <t>GBP / FTE / month</t>
  </si>
  <si>
    <t>Licences, laptops, collaboration tools.</t>
  </si>
  <si>
    <t>Rent and facilities</t>
  </si>
  <si>
    <t>Office lease; fixed.</t>
  </si>
  <si>
    <t>Professional fees</t>
  </si>
  <si>
    <t>Audit, legal, payroll bureau; fixed.</t>
  </si>
  <si>
    <t>Other G&amp;A</t>
  </si>
  <si>
    <t>Insurance, travel, general admin; fixed.</t>
  </si>
  <si>
    <t>Capital, tax and cash</t>
  </si>
  <si>
    <t>Capital expenditure</t>
  </si>
  <si>
    <t>Equipment and capitalised development.</t>
  </si>
  <si>
    <t>Depreciation life of new capex</t>
  </si>
  <si>
    <t>months</t>
  </si>
  <si>
    <t>Straight line, starting the month after purchase.</t>
  </si>
  <si>
    <t>Depreciation on existing assets</t>
  </si>
  <si>
    <t>Run-off of the opening asset base.</t>
  </si>
  <si>
    <t>Corporation tax rate</t>
  </si>
  <si>
    <t>UK main rate; charged on positive monthly profit only (simplification: no loss relief).</t>
  </si>
  <si>
    <t>Share of revenue collected in the month billed</t>
  </si>
  <si>
    <t>Remainder collected the following month.</t>
  </si>
  <si>
    <t>Opening cash (1 Apr)</t>
  </si>
  <si>
    <t>Bank balance at start of year.</t>
  </si>
  <si>
    <t>Opening trade receivables</t>
  </si>
  <si>
    <t>Collected in April.</t>
  </si>
  <si>
    <t>Opening tax creditor</t>
  </si>
  <si>
    <t>Paid in April.</t>
  </si>
  <si>
    <t>Hiring plan: new hires starting in each month (FTE)</t>
  </si>
  <si>
    <t>Scenario</t>
  </si>
  <si>
    <t>Apr-26</t>
  </si>
  <si>
    <t>May-26</t>
  </si>
  <si>
    <t>Jun-26</t>
  </si>
  <si>
    <t>Jul-26</t>
  </si>
  <si>
    <t>Aug-26</t>
  </si>
  <si>
    <t>Sep-26</t>
  </si>
  <si>
    <t>Oct-26</t>
  </si>
  <si>
    <t>Nov-26</t>
  </si>
  <si>
    <t>Dec-26</t>
  </si>
  <si>
    <t>Jan-27</t>
  </si>
  <si>
    <t>Feb-27</t>
  </si>
  <si>
    <t>Mar-27</t>
  </si>
  <si>
    <t>Base case hires</t>
  </si>
  <si>
    <t>Upside case hires</t>
  </si>
  <si>
    <t>Downside case hires</t>
  </si>
  <si>
    <t>Variance reporting thresholds</t>
  </si>
  <si>
    <t>Amber threshold (adverse variance as % of budget)</t>
  </si>
  <si>
    <t>Adverse variance beyond this is flagged 'Watch'.</t>
  </si>
  <si>
    <t>Red threshold (adverse variance as % of budget)</t>
  </si>
  <si>
    <t>Adverse variance beyond this is flagged 'Off track'.</t>
  </si>
  <si>
    <t>Scenario index (calculated from the Dashboard selector)</t>
  </si>
  <si>
    <t>Base case: monthly model</t>
  </si>
  <si>
    <t>Driven by the 'Base' column of Assumptions. Same layout on all three scenario sheets and on Budget_Locked.</t>
  </si>
  <si>
    <t>£ unless stated</t>
  </si>
  <si>
    <t>FY 2026/27</t>
  </si>
  <si>
    <t>CUSTOMERS</t>
  </si>
  <si>
    <t>Month number</t>
  </si>
  <si>
    <t>#</t>
  </si>
  <si>
    <t>Opening customers</t>
  </si>
  <si>
    <t>New customers</t>
  </si>
  <si>
    <t>Churned customers</t>
  </si>
  <si>
    <t>Closing customers</t>
  </si>
  <si>
    <t>Average customers</t>
  </si>
  <si>
    <t>ARPA (after price increase)</t>
  </si>
  <si>
    <t>£ / month</t>
  </si>
  <si>
    <t>PROFIT AND LOSS</t>
  </si>
  <si>
    <t>Subscription revenue</t>
  </si>
  <si>
    <t>£</t>
  </si>
  <si>
    <t>Onboarding revenue</t>
  </si>
  <si>
    <t>Total revenue</t>
  </si>
  <si>
    <t>Hosting</t>
  </si>
  <si>
    <t>Customer support</t>
  </si>
  <si>
    <t>Payment fees</t>
  </si>
  <si>
    <t>Total cost of sales</t>
  </si>
  <si>
    <t>Gross profit</t>
  </si>
  <si>
    <t>Gross margin %</t>
  </si>
  <si>
    <t>New hires</t>
  </si>
  <si>
    <t>Closing headcount</t>
  </si>
  <si>
    <t>Salaries and on-costs</t>
  </si>
  <si>
    <t>Marketing (CAC x new customers)</t>
  </si>
  <si>
    <t>Software and tools</t>
  </si>
  <si>
    <t>Total operating expenses</t>
  </si>
  <si>
    <t>EBITDA</t>
  </si>
  <si>
    <t>EBITDA margin %</t>
  </si>
  <si>
    <t>Depreciation</t>
  </si>
  <si>
    <t>EBIT</t>
  </si>
  <si>
    <t>Corporation tax charge</t>
  </si>
  <si>
    <t>Net income</t>
  </si>
  <si>
    <t>CASH FLOW</t>
  </si>
  <si>
    <t>Cash received from customers</t>
  </si>
  <si>
    <t>Cost of sales paid</t>
  </si>
  <si>
    <t>Operating expenses paid</t>
  </si>
  <si>
    <t>Tax paid (month after charge)</t>
  </si>
  <si>
    <t>Net cash flow</t>
  </si>
  <si>
    <t>Opening cash</t>
  </si>
  <si>
    <t>Closing cash</t>
  </si>
  <si>
    <t>KPIs</t>
  </si>
  <si>
    <t>Monthly recurring revenue (closing)</t>
  </si>
  <si>
    <t>Annualised recurring revenue (closing)</t>
  </si>
  <si>
    <t>INTEGRITY CHECKS (each must be 0)</t>
  </si>
  <si>
    <t>Cash: opening + net cash flow = closing (FY)</t>
  </si>
  <si>
    <t>Customers: opening + new - churned = closing (FY)</t>
  </si>
  <si>
    <t>P&amp;L: revenue - cost of sales - opex = EBITDA (FY)</t>
  </si>
  <si>
    <t>P&amp;L: EBITDA - depreciation - tax = net income (FY)</t>
  </si>
  <si>
    <t>No Excel errors anywhere on the sheet</t>
  </si>
  <si>
    <t>Upside case: monthly model</t>
  </si>
  <si>
    <t>Driven by the 'Upside' column of Assumptions. Same layout on all three scenario sheets and on Budget_Locked.</t>
  </si>
  <si>
    <t>Downside case: monthly model</t>
  </si>
  <si>
    <t>Driven by the 'Downside' column of Assumptions. Same layout on all three scenario sheets and on Budget_Locked.</t>
  </si>
  <si>
    <t>Approved budget (locked values)</t>
  </si>
  <si>
    <t>Hard-coded copy of the Base case at budget approval (1 Apr 2026). It does NOT move when Assumptions change: variances are always measured against this.</t>
  </si>
  <si>
    <t>Lock note</t>
  </si>
  <si>
    <t>Grey cells are values, not formulas. To re-baseline the budget, copy Model_Base and paste as values here.</t>
  </si>
  <si>
    <t>Actuals: April to September 2026</t>
  </si>
  <si>
    <t>Illustrative, fictional figures. Replace the blue inputs each month; everything else updates. Totals are formulas.</t>
  </si>
  <si>
    <t>YTD</t>
  </si>
  <si>
    <t>REVENUE</t>
  </si>
  <si>
    <t>COST OF SALES</t>
  </si>
  <si>
    <t>OPERATING EXPENSES</t>
  </si>
  <si>
    <t>CASH</t>
  </si>
  <si>
    <t>Marketing</t>
  </si>
  <si>
    <t>Closing cash (bank)</t>
  </si>
  <si>
    <t>Budget vs actual</t>
  </si>
  <si>
    <t>Variances are shown as favourable (+) / adverse (-) to profit. Outlook = YTD actual + forecast for the remaining months from the scenario selected on the Dashboard.</t>
  </si>
  <si>
    <t>Scenario used for the outlook:</t>
  </si>
  <si>
    <t>Line</t>
  </si>
  <si>
    <t>YTD budget</t>
  </si>
  <si>
    <t>YTD actual</t>
  </si>
  <si>
    <t>YTD var £ (F/A)</t>
  </si>
  <si>
    <t>YTD var %</t>
  </si>
  <si>
    <t>Status</t>
  </si>
  <si>
    <t>FY budget</t>
  </si>
  <si>
    <t>Forecast Oct-Mar</t>
  </si>
  <si>
    <t>FY outlook</t>
  </si>
  <si>
    <t>Outlook var £ (F/A)</t>
  </si>
  <si>
    <t>Outlook var %</t>
  </si>
  <si>
    <t>Key operating metrics at 30 September</t>
  </si>
  <si>
    <t>Metric</t>
  </si>
  <si>
    <t>Budget</t>
  </si>
  <si>
    <t>Actual</t>
  </si>
  <si>
    <t>Var (F/A)</t>
  </si>
  <si>
    <t>Var %</t>
  </si>
  <si>
    <t>Closing cash (£)</t>
  </si>
  <si>
    <t>Total new customers Apr-Sep</t>
  </si>
  <si>
    <t>Total churned customers Apr-Sep (lower is better)</t>
  </si>
  <si>
    <t>Scenario comparison: FY 2026/27</t>
  </si>
  <si>
    <t>Full-year Base / Upside / Downside side by side, against the locked budget. Scenarios apply to all 12 months; actuals for Apr-Sep are on Budget_vs_Actual.</t>
  </si>
  <si>
    <t>Budget (locked)</t>
  </si>
  <si>
    <t>Upside vs Base</t>
  </si>
  <si>
    <t>Downside vs Base</t>
  </si>
  <si>
    <t>Closing customers (Mar)</t>
  </si>
  <si>
    <t>Closing ARR (Mar)</t>
  </si>
  <si>
    <t>Closing headcount (Mar)</t>
  </si>
  <si>
    <t>Closing cash (Mar)</t>
  </si>
  <si>
    <t>Lowest month-end cash</t>
  </si>
  <si>
    <t>Month of lowest cash</t>
  </si>
  <si>
    <t>Cash runway at Mar burn (months)</t>
  </si>
  <si>
    <t>Read-across: Upside and Downside differ from Base in new-customer volume and growth, churn, ARPA, price increase, hosting cost, CAC and hiring (see Assumptions).</t>
  </si>
  <si>
    <t>Chart data (feeds the Dashboard; all formulas)</t>
  </si>
  <si>
    <t>Month</t>
  </si>
  <si>
    <t>Budget revenue</t>
  </si>
  <si>
    <t>Actual revenue</t>
  </si>
  <si>
    <t>Forecast revenue (selected)</t>
  </si>
  <si>
    <t>EBITDA Base</t>
  </si>
  <si>
    <t>EBITDA Upside</t>
  </si>
  <si>
    <t>EBITDA Downside</t>
  </si>
  <si>
    <t>Budget EBITDA</t>
  </si>
  <si>
    <t>Cash Base</t>
  </si>
  <si>
    <t>Cash Upside</t>
  </si>
  <si>
    <t>Cash Downside</t>
  </si>
  <si>
    <t>Budget cash</t>
  </si>
  <si>
    <t>Note: #N/A is intentional (charts skip those points).</t>
  </si>
  <si>
    <t>YTD variance by line (F/A £)</t>
  </si>
  <si>
    <t>Model integrity checks</t>
  </si>
  <si>
    <t>Every check must be 0 (within tolerance). The overall status is shown on the Cover and Dashboard.</t>
  </si>
  <si>
    <t>Check</t>
  </si>
  <si>
    <t>Value</t>
  </si>
  <si>
    <t>Tolerance</t>
  </si>
  <si>
    <t>Model_Base: Cash: opening + net cash flow = closing (FY)</t>
  </si>
  <si>
    <t>Model_Base: Customers: opening + new - churned = closing (FY)</t>
  </si>
  <si>
    <t>Model_Base: P&amp;L: revenue - cost of sales - opex = EBITDA (FY)</t>
  </si>
  <si>
    <t>Model_Base: P&amp;L: EBITDA - depreciation - tax = net income (FY)</t>
  </si>
  <si>
    <t>Model_Base: No Excel errors anywhere on the sheet</t>
  </si>
  <si>
    <t>Model_Upside: Cash: opening + net cash flow = closing (FY)</t>
  </si>
  <si>
    <t>Model_Upside: Customers: opening + new - churned = closing (FY)</t>
  </si>
  <si>
    <t>Model_Upside: P&amp;L: revenue - cost of sales - opex = EBITDA (FY)</t>
  </si>
  <si>
    <t>Model_Upside: P&amp;L: EBITDA - depreciation - tax = net income (FY)</t>
  </si>
  <si>
    <t>Model_Upside: No Excel errors anywhere on the sheet</t>
  </si>
  <si>
    <t>Model_Downside: Cash: opening + net cash flow = closing (FY)</t>
  </si>
  <si>
    <t>Model_Downside: Customers: opening + new - churned = closing (FY)</t>
  </si>
  <si>
    <t>Model_Downside: P&amp;L: revenue - cost of sales - opex = EBITDA (FY)</t>
  </si>
  <si>
    <t>Model_Downside: P&amp;L: EBITDA - depreciation - tax = net income (FY)</t>
  </si>
  <si>
    <t>Model_Downside: No Excel errors anywhere on the sheet</t>
  </si>
  <si>
    <t>Actuals: customer roll-forward (Apr opening + new - churned = closing, then month on month)</t>
  </si>
  <si>
    <t>Budget_vs_Actual: YTD budget revenue ties to the sum of Budget_Locked months</t>
  </si>
  <si>
    <t>Budget_vs_Actual: actual YTD EBITDA = revenue - cost of sales - opex</t>
  </si>
  <si>
    <t>Scenario selector is valid (Base, Upside or Downside)</t>
  </si>
  <si>
    <t>Dashboard / Budget_vs_Actual / Scenarios contain no Excel errors</t>
  </si>
  <si>
    <t>OVERALL STATUS</t>
  </si>
  <si>
    <t>Information (not an error): has the Base case moved since the budget was locked?</t>
  </si>
  <si>
    <t>Northlight Analytics: FY 2026/27 budget, scenarios and variance</t>
  </si>
  <si>
    <t>Fictional company, illustrative numbers. Actuals Apr-Sep 2026; forecast Oct-Mar from the selected scenario.</t>
  </si>
  <si>
    <t>Checks</t>
  </si>
  <si>
    <t>YTD revenue (Apr-Sep)</t>
  </si>
  <si>
    <t>YTD EBITDA</t>
  </si>
  <si>
    <t>FY revenue outlook</t>
  </si>
  <si>
    <t>FY EBITDA outlook</t>
  </si>
  <si>
    <t>Cash at 31 Mar (outlook)</t>
  </si>
  <si>
    <t>Customers at 30 Sep</t>
  </si>
  <si>
    <t>Runway at March burn rate (months)</t>
  </si>
  <si>
    <t>Reading the dashboard: green = favourable to profit, red = adverse. Change the scenario in O2 to re-forecast Oct-Mar; actuals and the locked budget never change.</t>
  </si>
  <si>
    <t>n/a</t>
  </si>
  <si>
    <t>Northlight Analytics Ltd: scenario and budget-vs-actual model</t>
  </si>
  <si>
    <t>FY 2026/27 (1 Apr 2026 - 31 Mar 2027). A fictional UK B2B analytics-software company; every number is illustrative.</t>
  </si>
  <si>
    <t>Model status</t>
  </si>
  <si>
    <t>Scenario shown</t>
  </si>
  <si>
    <t>Purpose</t>
  </si>
  <si>
    <t>Plan next year's P&amp;L and cash under three scenarios, track actual performance against the approved budget, and show whether the full-year outlook still meets plan.</t>
  </si>
  <si>
    <t>How to use</t>
  </si>
  <si>
    <t>1) Pick a scenario on the Dashboard (cell O2).  2) Review or change drivers on Assumptions (blue cells only).  3) Paste each month's actuals into Actuals.  4) Read Budget_vs_Actual and the Dashboard.  5) Confirm the Checks sheet says 'All checks pass'.</t>
  </si>
  <si>
    <t>Sheets</t>
  </si>
  <si>
    <t>Dashboard: KPIs, charts, scenario table.
Assumptions: every driver with its rationale; hiring plan; variance thresholds.
Budget_vs_Actual: YTD and full-year outlook variances with status flags.
Actuals: monthly actual inputs (Apr-Sep).
Budget_Locked: approved budget, hard-coded values.
Model_Base / Model_Upside / Model_Downside: the monthly engine (identical layout) for each scenario.
Scenarios: full-year side-by-side comparison.
ChartData: helper ranges for charts.
Checks: integrity tests.</t>
  </si>
  <si>
    <t>Colour code</t>
  </si>
  <si>
    <t>Blue text on yellow = input you may change.  Black = formula (do not overwrite).  Blue on grey = locked value.  Green/red numbers = favourable/adverse variance.</t>
  </si>
  <si>
    <t>Key logic</t>
  </si>
  <si>
    <t>Customers roll forward monthly (opening + new - churned). Subscription revenue = average customers x ARPA; a price increase applies from the chosen month. Costs scale with customers (hosting, support), new customers (marketing) and headcount (salaries, tools). 80% of revenue is collected in the month billed, 20% the next month. Tax is 25% of positive monthly EBIT, paid the month after. Capex is depreciated straight-line over 36 months.</t>
  </si>
  <si>
    <t>Variance convention</t>
  </si>
  <si>
    <t>Variances are favourable (+) or adverse (-) to profit: for income lines actual minus budget; for cost lines budget minus actual. Status flags use the thresholds on Assumptions (amber 2%, red 5% of budget).</t>
  </si>
  <si>
    <t>Simplifications</t>
  </si>
  <si>
    <t>No VAT, no balance-sheet statement, no loss carry-forward, no FX or interest, annual rather than monthly price cohorts, and hires start at the beginning of the month. Churn is applied to opening customers only. These are deliberate to keep the model transparent.</t>
  </si>
  <si>
    <t>Data</t>
  </si>
  <si>
    <t>Fictional. The 'actuals' for Apr-Sep were generated from a plausible alternative set of drivers (slower sales, higher churn and hosting cost, a delayed hire, a legal-fee overrun) plus +/-1.5% noise. Do not read them as real company results.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</si>
</sst>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\£#,##0,&quot;k&quot;;\(\£#,##0,&quot;k&quot;\)"/>
    <numFmt numFmtId="165" formatCode="\+0.0%;\-0.0%;0.0%"/>
    <numFmt numFmtId="166" formatCode="\+\£#,##0,&quot;k&quot;\ &quot;vs budget&quot;;\-\£#,##0,&quot;k&quot;\ &quot;vs budget&quot;"/>
    <numFmt numFmtId="167" formatCode="\£#,##0;\(\£#,##0\);&quot;-&quot;"/>
    <numFmt numFmtId="168" formatCode="0.0%"/>
    <numFmt numFmtId="169" formatCode="#,##0.0"/>
    <numFmt numFmtId="170" formatCode="\£#,##0.00"/>
  </numFmts>
  <fonts count="13" x14ac:knownFonts="1">
    <font>
      <sz val="11"/>
      <color theme="1"/>
      <name val="Calibri"/>
      <family val="2"/>
      <scheme val="minor"/>
    </font>
    <font>
      <b/>
      <sz val="18"/>
      <color rgb="FF1F3B5C"/>
      <name val="Calibri"/>
      <family val="2"/>
      <scheme val="minor"/>
    </font>
    <font>
      <i/>
      <sz val="10"/>
      <color rgb="FF7A7A7A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0000FF"/>
      <name val="Calibri"/>
      <family val="2"/>
      <scheme val="minor"/>
    </font>
    <font>
      <sz val="9"/>
      <color rgb="FF7A7A7A"/>
      <name val="Calibri"/>
      <family val="2"/>
      <scheme val="minor"/>
    </font>
    <font>
      <b/>
      <sz val="20"/>
      <color rgb="FF1F3B5C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rgb="FF1F3B5C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rgb="FF7A7A7A"/>
      <name val="Calibri"/>
      <family val="2"/>
      <scheme val="minor"/>
    </font>
    <font>
      <sz val="10"/>
      <color rgb="FF0000FF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9E5"/>
        <bgColor indexed="64"/>
      </patternFill>
    </fill>
    <fill>
      <patternFill patternType="solid">
        <fgColor rgb="FFF2F5F9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1F3B5C"/>
        <bgColor indexed="64"/>
      </patternFill>
    </fill>
    <fill>
      <patternFill patternType="solid">
        <fgColor rgb="FFEDEDED"/>
        <bgColor indexed="64"/>
      </patternFill>
    </fill>
  </fills>
  <borders count="6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medium">
        <color rgb="FF2F5D8A"/>
      </top>
      <bottom/>
      <diagonal/>
    </border>
    <border>
      <left/>
      <right/>
      <top/>
      <bottom style="thin">
        <color auto="1"/>
      </bottom>
      <diagonal/>
    </border>
    <border>
      <left style="thin">
        <color rgb="FF1F3B5C"/>
      </left>
      <right style="thin">
        <color rgb="FF1F3B5C"/>
      </right>
      <top style="thin">
        <color rgb="FF1F3B5C"/>
      </top>
      <bottom style="thin">
        <color rgb="FF1F3B5C"/>
      </bottom>
      <diagonal/>
    </border>
    <border>
      <left/>
      <right/>
      <top style="thin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 wrapText="1"/>
    </xf>
    <xf numFmtId="0" fontId="9" fillId="4" borderId="3" xfId="0" applyFont="1" applyFill="1" applyBorder="1" applyAlignment="1">
      <alignment vertical="center"/>
    </xf>
    <xf numFmtId="0" fontId="10" fillId="5" borderId="4" xfId="0" applyFont="1" applyFill="1" applyBorder="1" applyAlignment="1">
      <alignment vertical="center"/>
    </xf>
    <xf numFmtId="0" fontId="10" fillId="5" borderId="4" xfId="0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167" fontId="4" fillId="0" borderId="0" xfId="0" applyNumberFormat="1" applyFont="1" applyAlignment="1">
      <alignment vertical="center"/>
    </xf>
    <xf numFmtId="168" fontId="4" fillId="0" borderId="0" xfId="0" applyNumberFormat="1" applyFont="1" applyAlignment="1">
      <alignment vertical="center"/>
    </xf>
    <xf numFmtId="3" fontId="4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169" fontId="4" fillId="0" borderId="0" xfId="0" applyNumberFormat="1" applyFont="1" applyAlignment="1">
      <alignment vertical="center"/>
    </xf>
    <xf numFmtId="0" fontId="2" fillId="0" borderId="0" xfId="0" applyFont="1" applyAlignment="1">
      <alignment vertical="top" wrapText="1"/>
    </xf>
    <xf numFmtId="3" fontId="12" fillId="2" borderId="1" xfId="0" applyNumberFormat="1" applyFont="1" applyFill="1" applyBorder="1" applyAlignment="1">
      <alignment vertical="center"/>
    </xf>
    <xf numFmtId="3" fontId="3" fillId="0" borderId="0" xfId="0" applyNumberFormat="1" applyFont="1" applyAlignment="1">
      <alignment vertical="center"/>
    </xf>
    <xf numFmtId="168" fontId="12" fillId="2" borderId="1" xfId="0" applyNumberFormat="1" applyFont="1" applyFill="1" applyBorder="1" applyAlignment="1">
      <alignment vertical="center"/>
    </xf>
    <xf numFmtId="168" fontId="3" fillId="0" borderId="0" xfId="0" applyNumberFormat="1" applyFont="1" applyAlignment="1">
      <alignment vertical="center"/>
    </xf>
    <xf numFmtId="167" fontId="12" fillId="2" borderId="1" xfId="0" applyNumberFormat="1" applyFont="1" applyFill="1" applyBorder="1" applyAlignment="1">
      <alignment vertical="center"/>
    </xf>
    <xf numFmtId="167" fontId="3" fillId="0" borderId="0" xfId="0" applyNumberFormat="1" applyFont="1" applyAlignment="1">
      <alignment vertical="center"/>
    </xf>
    <xf numFmtId="0" fontId="3" fillId="3" borderId="5" xfId="0" applyFont="1" applyFill="1" applyBorder="1" applyAlignment="1">
      <alignment vertical="center"/>
    </xf>
    <xf numFmtId="167" fontId="3" fillId="3" borderId="5" xfId="0" applyNumberFormat="1" applyFont="1" applyFill="1" applyBorder="1" applyAlignment="1">
      <alignment vertical="center"/>
    </xf>
    <xf numFmtId="3" fontId="11" fillId="0" borderId="0" xfId="0" applyNumberFormat="1" applyFont="1" applyAlignment="1">
      <alignment vertical="center"/>
    </xf>
    <xf numFmtId="3" fontId="12" fillId="6" borderId="0" xfId="0" applyNumberFormat="1" applyFont="1" applyFill="1" applyAlignment="1">
      <alignment vertical="center"/>
    </xf>
    <xf numFmtId="169" fontId="12" fillId="6" borderId="0" xfId="0" applyNumberFormat="1" applyFont="1" applyFill="1" applyAlignment="1">
      <alignment vertical="center"/>
    </xf>
    <xf numFmtId="170" fontId="12" fillId="6" borderId="0" xfId="0" applyNumberFormat="1" applyFont="1" applyFill="1" applyAlignment="1">
      <alignment vertical="center"/>
    </xf>
    <xf numFmtId="170" fontId="4" fillId="0" borderId="0" xfId="0" applyNumberFormat="1" applyFont="1" applyAlignment="1">
      <alignment vertical="center"/>
    </xf>
    <xf numFmtId="167" fontId="12" fillId="6" borderId="0" xfId="0" applyNumberFormat="1" applyFont="1" applyFill="1" applyAlignment="1">
      <alignment vertical="center"/>
    </xf>
    <xf numFmtId="168" fontId="12" fillId="6" borderId="0" xfId="0" applyNumberFormat="1" applyFont="1" applyFill="1" applyAlignment="1">
      <alignment vertical="center"/>
    </xf>
    <xf numFmtId="168" fontId="1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6" fillId="3" borderId="2" xfId="0" applyFont="1" applyFill="1" applyBorder="1" applyAlignment="1">
      <alignment horizontal="center"/>
    </xf>
    <xf numFmtId="164" fontId="7" fillId="3" borderId="0" xfId="0" applyNumberFormat="1" applyFont="1" applyFill="1" applyAlignment="1">
      <alignment horizontal="center"/>
    </xf>
    <xf numFmtId="165" fontId="8" fillId="3" borderId="0" xfId="0" applyNumberFormat="1" applyFont="1" applyFill="1" applyAlignment="1">
      <alignment horizontal="center"/>
    </xf>
    <xf numFmtId="166" fontId="8" fillId="3" borderId="0" xfId="0" applyNumberFormat="1" applyFont="1" applyFill="1" applyAlignment="1">
      <alignment horizontal="center"/>
    </xf>
    <xf numFmtId="3" fontId="7" fillId="3" borderId="0" xfId="0" applyNumberFormat="1" applyFont="1" applyFill="1" applyAlignment="1">
      <alignment horizontal="center"/>
    </xf>
    <xf numFmtId="0" fontId="9" fillId="4" borderId="3" xfId="0" applyFont="1" applyFill="1" applyBorder="1" applyAlignment="1">
      <alignment vertical="center"/>
    </xf>
    <xf numFmtId="0" fontId="10" fillId="5" borderId="4" xfId="0" applyFont="1" applyFill="1" applyBorder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14">
    <dxf>
      <font>
        <b/>
        <color rgb="FF9C0006"/>
      </font>
      <fill>
        <patternFill>
          <bgColor rgb="FFF4CCCC"/>
        </patternFill>
      </fill>
    </dxf>
    <dxf>
      <font>
        <b/>
        <color rgb="FF375623"/>
      </font>
      <fill>
        <patternFill>
          <bgColor rgb="FFE2EFDA"/>
        </patternFill>
      </fill>
    </dxf>
    <dxf>
      <font>
        <b/>
        <color rgb="FF2E7D32"/>
      </font>
    </dxf>
    <dxf>
      <font>
        <b/>
        <color rgb="FFB5484C"/>
      </font>
    </dxf>
    <dxf>
      <font>
        <b/>
        <color rgb="FF375623"/>
      </font>
      <fill>
        <patternFill>
          <bgColor rgb="FFC6E0B4"/>
        </patternFill>
      </fill>
    </dxf>
    <dxf>
      <font>
        <b/>
        <color rgb="FF375623"/>
      </font>
      <fill>
        <patternFill>
          <bgColor rgb="FFE2EFDA"/>
        </patternFill>
      </fill>
    </dxf>
    <dxf>
      <font>
        <b/>
        <color rgb="FF7F6000"/>
      </font>
      <fill>
        <patternFill>
          <bgColor rgb="FFFFE8B3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2E7D32"/>
      </font>
    </dxf>
    <dxf>
      <font>
        <b/>
        <color rgb="FFB5484C"/>
      </font>
    </dxf>
    <dxf>
      <font>
        <b/>
        <color rgb="FF2E7D32"/>
      </font>
    </dxf>
    <dxf>
      <font>
        <b/>
        <color rgb="FFB5484C"/>
      </font>
    </dxf>
    <dxf>
      <font>
        <b/>
        <color rgb="FFB5484C"/>
      </font>
    </dxf>
    <dxf>
      <font>
        <b/>
        <color rgb="FF2E7D32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aseline="0">
                <a:solidFill>
                  <a:srgbClr val="1F3B5C"/>
                </a:solidFill>
              </a:defRPr>
            </a:pPr>
            <a:r>
              <a:rPr lang="en-US" sz="1100" baseline="0">
                <a:solidFill>
                  <a:srgbClr val="1F3B5C"/>
                </a:solidFill>
              </a:rPr>
              <a:t>Monthly revenue: budget vs actual and forecast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Budget</c:v>
          </c:tx>
          <c:spPr>
            <a:solidFill>
              <a:srgbClr val="B8C6D8"/>
            </a:solidFill>
          </c:spPr>
          <c:invertIfNegative val="0"/>
          <c:cat>
            <c:strRef>
              <c:f>ChartData!$A$5:$A$16</c:f>
              <c:strCache>
                <c:ptCount val="12"/>
                <c:pt idx="0">
                  <c:v>Apr-26</c:v>
                </c:pt>
                <c:pt idx="1">
                  <c:v>May-26</c:v>
                </c:pt>
                <c:pt idx="2">
                  <c:v>Jun-26</c:v>
                </c:pt>
                <c:pt idx="3">
                  <c:v>Jul-26</c:v>
                </c:pt>
                <c:pt idx="4">
                  <c:v>Aug-26</c:v>
                </c:pt>
                <c:pt idx="5">
                  <c:v>Sep-26</c:v>
                </c:pt>
                <c:pt idx="6">
                  <c:v>Oct-26</c:v>
                </c:pt>
                <c:pt idx="7">
                  <c:v>Nov-26</c:v>
                </c:pt>
                <c:pt idx="8">
                  <c:v>Dec-26</c:v>
                </c:pt>
                <c:pt idx="9">
                  <c:v>Jan-27</c:v>
                </c:pt>
                <c:pt idx="10">
                  <c:v>Feb-27</c:v>
                </c:pt>
                <c:pt idx="11">
                  <c:v>Mar-27</c:v>
                </c:pt>
              </c:strCache>
            </c:strRef>
          </c:cat>
          <c:val>
            <c:numRef>
              <c:f>ChartData!$B$5:$B$16</c:f>
              <c:numCache>
                <c:formatCode>\£#,##0;\(\£#,##0\);"-"</c:formatCode>
                <c:ptCount val="12"/>
                <c:pt idx="0">
                  <c:v>145900</c:v>
                </c:pt>
                <c:pt idx="1">
                  <c:v>152705</c:v>
                </c:pt>
                <c:pt idx="2">
                  <c:v>159215</c:v>
                </c:pt>
                <c:pt idx="3">
                  <c:v>166175</c:v>
                </c:pt>
                <c:pt idx="4">
                  <c:v>172685</c:v>
                </c:pt>
                <c:pt idx="5">
                  <c:v>179800</c:v>
                </c:pt>
                <c:pt idx="6">
                  <c:v>193976.8</c:v>
                </c:pt>
                <c:pt idx="7">
                  <c:v>201069.6</c:v>
                </c:pt>
                <c:pt idx="8">
                  <c:v>208612.4</c:v>
                </c:pt>
                <c:pt idx="9">
                  <c:v>215705.2</c:v>
                </c:pt>
                <c:pt idx="10">
                  <c:v>223409.2</c:v>
                </c:pt>
                <c:pt idx="11">
                  <c:v>231274.4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C2-4445-9A59-D10808F47955}"/>
            </c:ext>
          </c:extLst>
        </c:ser>
        <c:ser>
          <c:idx val="1"/>
          <c:order val="1"/>
          <c:tx>
            <c:v>Actual</c:v>
          </c:tx>
          <c:spPr>
            <a:solidFill>
              <a:srgbClr val="2F5D8A"/>
            </a:solidFill>
          </c:spPr>
          <c:invertIfNegative val="0"/>
          <c:cat>
            <c:strRef>
              <c:f>ChartData!$A$5:$A$16</c:f>
              <c:strCache>
                <c:ptCount val="12"/>
                <c:pt idx="0">
                  <c:v>Apr-26</c:v>
                </c:pt>
                <c:pt idx="1">
                  <c:v>May-26</c:v>
                </c:pt>
                <c:pt idx="2">
                  <c:v>Jun-26</c:v>
                </c:pt>
                <c:pt idx="3">
                  <c:v>Jul-26</c:v>
                </c:pt>
                <c:pt idx="4">
                  <c:v>Aug-26</c:v>
                </c:pt>
                <c:pt idx="5">
                  <c:v>Sep-26</c:v>
                </c:pt>
                <c:pt idx="6">
                  <c:v>Oct-26</c:v>
                </c:pt>
                <c:pt idx="7">
                  <c:v>Nov-26</c:v>
                </c:pt>
                <c:pt idx="8">
                  <c:v>Dec-26</c:v>
                </c:pt>
                <c:pt idx="9">
                  <c:v>Jan-27</c:v>
                </c:pt>
                <c:pt idx="10">
                  <c:v>Feb-27</c:v>
                </c:pt>
                <c:pt idx="11">
                  <c:v>Mar-27</c:v>
                </c:pt>
              </c:strCache>
            </c:strRef>
          </c:cat>
          <c:val>
            <c:numRef>
              <c:f>ChartData!$C$5:$C$16</c:f>
              <c:numCache>
                <c:formatCode>\£#,##0;\(\£#,##0\);"-"</c:formatCode>
                <c:ptCount val="12"/>
                <c:pt idx="0">
                  <c:v>145120</c:v>
                </c:pt>
                <c:pt idx="1">
                  <c:v>151537</c:v>
                </c:pt>
                <c:pt idx="2">
                  <c:v>156668</c:v>
                </c:pt>
                <c:pt idx="3">
                  <c:v>159286</c:v>
                </c:pt>
                <c:pt idx="4">
                  <c:v>165127</c:v>
                </c:pt>
                <c:pt idx="5">
                  <c:v>172972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0C2-4445-9A59-D10808F479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50010001"/>
        <c:axId val="50010002"/>
      </c:barChart>
      <c:lineChart>
        <c:grouping val="standard"/>
        <c:varyColors val="0"/>
        <c:ser>
          <c:idx val="2"/>
          <c:order val="2"/>
          <c:tx>
            <c:v>Forecast (selected scenario)</c:v>
          </c:tx>
          <c:spPr>
            <a:ln w="31750">
              <a:solidFill>
                <a:srgbClr val="E07B39"/>
              </a:solidFill>
              <a:prstDash val="dash"/>
            </a:ln>
          </c:spPr>
          <c:marker>
            <c:symbol val="circle"/>
            <c:size val="5"/>
            <c:spPr>
              <a:solidFill>
                <a:srgbClr val="E07B39"/>
              </a:solidFill>
              <a:ln>
                <a:solidFill>
                  <a:srgbClr val="E07B39"/>
                </a:solidFill>
              </a:ln>
            </c:spPr>
          </c:marker>
          <c:cat>
            <c:strRef>
              <c:f>ChartData!$A$5:$A$16</c:f>
              <c:strCache>
                <c:ptCount val="12"/>
                <c:pt idx="0">
                  <c:v>Apr-26</c:v>
                </c:pt>
                <c:pt idx="1">
                  <c:v>May-26</c:v>
                </c:pt>
                <c:pt idx="2">
                  <c:v>Jun-26</c:v>
                </c:pt>
                <c:pt idx="3">
                  <c:v>Jul-26</c:v>
                </c:pt>
                <c:pt idx="4">
                  <c:v>Aug-26</c:v>
                </c:pt>
                <c:pt idx="5">
                  <c:v>Sep-26</c:v>
                </c:pt>
                <c:pt idx="6">
                  <c:v>Oct-26</c:v>
                </c:pt>
                <c:pt idx="7">
                  <c:v>Nov-26</c:v>
                </c:pt>
                <c:pt idx="8">
                  <c:v>Dec-26</c:v>
                </c:pt>
                <c:pt idx="9">
                  <c:v>Jan-27</c:v>
                </c:pt>
                <c:pt idx="10">
                  <c:v>Feb-27</c:v>
                </c:pt>
                <c:pt idx="11">
                  <c:v>Mar-27</c:v>
                </c:pt>
              </c:strCache>
            </c:strRef>
          </c:cat>
          <c:val>
            <c:numRef>
              <c:f>ChartData!$D$5:$D$16</c:f>
              <c:numCache>
                <c:formatCode>\£#,##0;\(\£#,##0\);"-"</c:formatCode>
                <c:ptCount val="12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193976.80000000002</c:v>
                </c:pt>
                <c:pt idx="7">
                  <c:v>201069.6</c:v>
                </c:pt>
                <c:pt idx="8">
                  <c:v>208612.40000000002</c:v>
                </c:pt>
                <c:pt idx="9">
                  <c:v>215705.2</c:v>
                </c:pt>
                <c:pt idx="10">
                  <c:v>223409.2</c:v>
                </c:pt>
                <c:pt idx="11">
                  <c:v>231274.40000000002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0C2-4445-9A59-D10808F479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010001"/>
        <c:axId val="50010002"/>
      </c:lineChart>
      <c:catAx>
        <c:axId val="5001000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 baseline="0"/>
            </a:pPr>
            <a:endParaRPr lang="en-US"/>
          </a:p>
        </c:txPr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>
          <c:spPr>
            <a:ln>
              <a:solidFill>
                <a:srgbClr val="E6E6E6"/>
              </a:solidFill>
            </a:ln>
          </c:spPr>
        </c:majorGridlines>
        <c:numFmt formatCode="\£#,##0,&quot;k&quot;" sourceLinked="0"/>
        <c:majorTickMark val="out"/>
        <c:minorTickMark val="none"/>
        <c:tickLblPos val="nextTo"/>
        <c:crossAx val="50010001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aseline="0">
                <a:solidFill>
                  <a:srgbClr val="1F3B5C"/>
                </a:solidFill>
              </a:defRPr>
            </a:pPr>
            <a:r>
              <a:rPr lang="en-US" sz="1100" baseline="0">
                <a:solidFill>
                  <a:srgbClr val="1F3B5C"/>
                </a:solidFill>
              </a:rPr>
              <a:t>Monthly EBITDA by scenario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Base</c:v>
          </c:tx>
          <c:spPr>
            <a:ln w="28575">
              <a:solidFill>
                <a:srgbClr val="2F5D8A"/>
              </a:solidFill>
            </a:ln>
          </c:spPr>
          <c:marker>
            <c:symbol val="none"/>
          </c:marker>
          <c:cat>
            <c:strRef>
              <c:f>ChartData!$A$5:$A$16</c:f>
              <c:strCache>
                <c:ptCount val="12"/>
                <c:pt idx="0">
                  <c:v>Apr-26</c:v>
                </c:pt>
                <c:pt idx="1">
                  <c:v>May-26</c:v>
                </c:pt>
                <c:pt idx="2">
                  <c:v>Jun-26</c:v>
                </c:pt>
                <c:pt idx="3">
                  <c:v>Jul-26</c:v>
                </c:pt>
                <c:pt idx="4">
                  <c:v>Aug-26</c:v>
                </c:pt>
                <c:pt idx="5">
                  <c:v>Sep-26</c:v>
                </c:pt>
                <c:pt idx="6">
                  <c:v>Oct-26</c:v>
                </c:pt>
                <c:pt idx="7">
                  <c:v>Nov-26</c:v>
                </c:pt>
                <c:pt idx="8">
                  <c:v>Dec-26</c:v>
                </c:pt>
                <c:pt idx="9">
                  <c:v>Jan-27</c:v>
                </c:pt>
                <c:pt idx="10">
                  <c:v>Feb-27</c:v>
                </c:pt>
                <c:pt idx="11">
                  <c:v>Mar-27</c:v>
                </c:pt>
              </c:strCache>
            </c:strRef>
          </c:cat>
          <c:val>
            <c:numRef>
              <c:f>ChartData!$E$5:$E$16</c:f>
              <c:numCache>
                <c:formatCode>\£#,##0;\(\£#,##0\);"-"</c:formatCode>
                <c:ptCount val="12"/>
                <c:pt idx="0">
                  <c:v>-31568.5</c:v>
                </c:pt>
                <c:pt idx="1">
                  <c:v>-26018.575000000012</c:v>
                </c:pt>
                <c:pt idx="2">
                  <c:v>-25445.55833333332</c:v>
                </c:pt>
                <c:pt idx="3">
                  <c:v>-19755.958333333314</c:v>
                </c:pt>
                <c:pt idx="4">
                  <c:v>-13889.608333333308</c:v>
                </c:pt>
                <c:pt idx="5">
                  <c:v>-13353.666666666657</c:v>
                </c:pt>
                <c:pt idx="6">
                  <c:v>-581.51866666664137</c:v>
                </c:pt>
                <c:pt idx="7">
                  <c:v>5832.8893333333544</c:v>
                </c:pt>
                <c:pt idx="8">
                  <c:v>6777.2140000000363</c:v>
                </c:pt>
                <c:pt idx="9">
                  <c:v>13191.622000000003</c:v>
                </c:pt>
                <c:pt idx="10">
                  <c:v>14281.728666666691</c:v>
                </c:pt>
                <c:pt idx="11">
                  <c:v>20810.9506666667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293-4DE9-8589-06FA02714DE9}"/>
            </c:ext>
          </c:extLst>
        </c:ser>
        <c:ser>
          <c:idx val="1"/>
          <c:order val="1"/>
          <c:tx>
            <c:v>Upside</c:v>
          </c:tx>
          <c:spPr>
            <a:ln w="28575">
              <a:solidFill>
                <a:srgbClr val="E07B39"/>
              </a:solidFill>
            </a:ln>
          </c:spPr>
          <c:marker>
            <c:symbol val="none"/>
          </c:marker>
          <c:cat>
            <c:strRef>
              <c:f>ChartData!$A$5:$A$16</c:f>
              <c:strCache>
                <c:ptCount val="12"/>
                <c:pt idx="0">
                  <c:v>Apr-26</c:v>
                </c:pt>
                <c:pt idx="1">
                  <c:v>May-26</c:v>
                </c:pt>
                <c:pt idx="2">
                  <c:v>Jun-26</c:v>
                </c:pt>
                <c:pt idx="3">
                  <c:v>Jul-26</c:v>
                </c:pt>
                <c:pt idx="4">
                  <c:v>Aug-26</c:v>
                </c:pt>
                <c:pt idx="5">
                  <c:v>Sep-26</c:v>
                </c:pt>
                <c:pt idx="6">
                  <c:v>Oct-26</c:v>
                </c:pt>
                <c:pt idx="7">
                  <c:v>Nov-26</c:v>
                </c:pt>
                <c:pt idx="8">
                  <c:v>Dec-26</c:v>
                </c:pt>
                <c:pt idx="9">
                  <c:v>Jan-27</c:v>
                </c:pt>
                <c:pt idx="10">
                  <c:v>Feb-27</c:v>
                </c:pt>
                <c:pt idx="11">
                  <c:v>Mar-27</c:v>
                </c:pt>
              </c:strCache>
            </c:strRef>
          </c:cat>
          <c:val>
            <c:numRef>
              <c:f>ChartData!$F$5:$F$16</c:f>
              <c:numCache>
                <c:formatCode>\£#,##0;\(\£#,##0\);"-"</c:formatCode>
                <c:ptCount val="12"/>
                <c:pt idx="0">
                  <c:v>-25021.72</c:v>
                </c:pt>
                <c:pt idx="1">
                  <c:v>-22153.458333333314</c:v>
                </c:pt>
                <c:pt idx="2">
                  <c:v>-19139.611666666664</c:v>
                </c:pt>
                <c:pt idx="3">
                  <c:v>-10686.84666666665</c:v>
                </c:pt>
                <c:pt idx="4">
                  <c:v>-7381.8300000000163</c:v>
                </c:pt>
                <c:pt idx="5">
                  <c:v>-3931.2283333333035</c:v>
                </c:pt>
                <c:pt idx="6">
                  <c:v>14841.901416666689</c:v>
                </c:pt>
                <c:pt idx="7">
                  <c:v>19543.758583333372</c:v>
                </c:pt>
                <c:pt idx="8">
                  <c:v>24399.130000000034</c:v>
                </c:pt>
                <c:pt idx="9">
                  <c:v>34701.349000000017</c:v>
                </c:pt>
                <c:pt idx="10">
                  <c:v>39880.513166666671</c:v>
                </c:pt>
                <c:pt idx="11">
                  <c:v>50796.789166666655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293-4DE9-8589-06FA02714DE9}"/>
            </c:ext>
          </c:extLst>
        </c:ser>
        <c:ser>
          <c:idx val="2"/>
          <c:order val="2"/>
          <c:tx>
            <c:v>Downside</c:v>
          </c:tx>
          <c:spPr>
            <a:ln w="28575">
              <a:solidFill>
                <a:srgbClr val="4C9F70"/>
              </a:solidFill>
            </a:ln>
          </c:spPr>
          <c:marker>
            <c:symbol val="none"/>
          </c:marker>
          <c:cat>
            <c:strRef>
              <c:f>ChartData!$A$5:$A$16</c:f>
              <c:strCache>
                <c:ptCount val="12"/>
                <c:pt idx="0">
                  <c:v>Apr-26</c:v>
                </c:pt>
                <c:pt idx="1">
                  <c:v>May-26</c:v>
                </c:pt>
                <c:pt idx="2">
                  <c:v>Jun-26</c:v>
                </c:pt>
                <c:pt idx="3">
                  <c:v>Jul-26</c:v>
                </c:pt>
                <c:pt idx="4">
                  <c:v>Aug-26</c:v>
                </c:pt>
                <c:pt idx="5">
                  <c:v>Sep-26</c:v>
                </c:pt>
                <c:pt idx="6">
                  <c:v>Oct-26</c:v>
                </c:pt>
                <c:pt idx="7">
                  <c:v>Nov-26</c:v>
                </c:pt>
                <c:pt idx="8">
                  <c:v>Dec-26</c:v>
                </c:pt>
                <c:pt idx="9">
                  <c:v>Jan-27</c:v>
                </c:pt>
                <c:pt idx="10">
                  <c:v>Feb-27</c:v>
                </c:pt>
                <c:pt idx="11">
                  <c:v>Mar-27</c:v>
                </c:pt>
              </c:strCache>
            </c:strRef>
          </c:cat>
          <c:val>
            <c:numRef>
              <c:f>ChartData!$G$5:$G$16</c:f>
              <c:numCache>
                <c:formatCode>\£#,##0;\(\£#,##0\);"-"</c:formatCode>
                <c:ptCount val="12"/>
                <c:pt idx="0">
                  <c:v>-40112.375</c:v>
                </c:pt>
                <c:pt idx="1">
                  <c:v>-37476.625</c:v>
                </c:pt>
                <c:pt idx="2">
                  <c:v>-40134.208333333314</c:v>
                </c:pt>
                <c:pt idx="3">
                  <c:v>-37630.24583333332</c:v>
                </c:pt>
                <c:pt idx="4">
                  <c:v>-35258.070833333302</c:v>
                </c:pt>
                <c:pt idx="5">
                  <c:v>-38304.191666666651</c:v>
                </c:pt>
                <c:pt idx="6">
                  <c:v>-32861.487166666688</c:v>
                </c:pt>
                <c:pt idx="7">
                  <c:v>-30302.31541666665</c:v>
                </c:pt>
                <c:pt idx="8">
                  <c:v>-27877.836916666682</c:v>
                </c:pt>
                <c:pt idx="9">
                  <c:v>-25453.358416666684</c:v>
                </c:pt>
                <c:pt idx="10">
                  <c:v>-23028.879916666658</c:v>
                </c:pt>
                <c:pt idx="11">
                  <c:v>-20739.094666666671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293-4DE9-8589-06FA02714DE9}"/>
            </c:ext>
          </c:extLst>
        </c:ser>
        <c:ser>
          <c:idx val="3"/>
          <c:order val="3"/>
          <c:tx>
            <c:v>Budget</c:v>
          </c:tx>
          <c:spPr>
            <a:ln w="19050">
              <a:solidFill>
                <a:srgbClr val="7A7A7A"/>
              </a:solidFill>
              <a:prstDash val="dash"/>
            </a:ln>
          </c:spPr>
          <c:marker>
            <c:symbol val="none"/>
          </c:marker>
          <c:cat>
            <c:strRef>
              <c:f>ChartData!$A$5:$A$16</c:f>
              <c:strCache>
                <c:ptCount val="12"/>
                <c:pt idx="0">
                  <c:v>Apr-26</c:v>
                </c:pt>
                <c:pt idx="1">
                  <c:v>May-26</c:v>
                </c:pt>
                <c:pt idx="2">
                  <c:v>Jun-26</c:v>
                </c:pt>
                <c:pt idx="3">
                  <c:v>Jul-26</c:v>
                </c:pt>
                <c:pt idx="4">
                  <c:v>Aug-26</c:v>
                </c:pt>
                <c:pt idx="5">
                  <c:v>Sep-26</c:v>
                </c:pt>
                <c:pt idx="6">
                  <c:v>Oct-26</c:v>
                </c:pt>
                <c:pt idx="7">
                  <c:v>Nov-26</c:v>
                </c:pt>
                <c:pt idx="8">
                  <c:v>Dec-26</c:v>
                </c:pt>
                <c:pt idx="9">
                  <c:v>Jan-27</c:v>
                </c:pt>
                <c:pt idx="10">
                  <c:v>Feb-27</c:v>
                </c:pt>
                <c:pt idx="11">
                  <c:v>Mar-27</c:v>
                </c:pt>
              </c:strCache>
            </c:strRef>
          </c:cat>
          <c:val>
            <c:numRef>
              <c:f>ChartData!$H$5:$H$16</c:f>
              <c:numCache>
                <c:formatCode>\£#,##0;\(\£#,##0\);"-"</c:formatCode>
                <c:ptCount val="12"/>
                <c:pt idx="0">
                  <c:v>-31568.5</c:v>
                </c:pt>
                <c:pt idx="1">
                  <c:v>-26018.575000000012</c:v>
                </c:pt>
                <c:pt idx="2">
                  <c:v>-25445.55833333332</c:v>
                </c:pt>
                <c:pt idx="3">
                  <c:v>-19755.95833333331</c:v>
                </c:pt>
                <c:pt idx="4">
                  <c:v>-13889.60833333331</c:v>
                </c:pt>
                <c:pt idx="5">
                  <c:v>-13353.666666666661</c:v>
                </c:pt>
                <c:pt idx="6">
                  <c:v>-581.51866666664137</c:v>
                </c:pt>
                <c:pt idx="7">
                  <c:v>5832.8893333333544</c:v>
                </c:pt>
                <c:pt idx="8">
                  <c:v>6777.2140000000363</c:v>
                </c:pt>
                <c:pt idx="9">
                  <c:v>13191.621999999999</c:v>
                </c:pt>
                <c:pt idx="10">
                  <c:v>14281.72866666669</c:v>
                </c:pt>
                <c:pt idx="11">
                  <c:v>20810.9506666667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293-4DE9-8589-06FA02714D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20001"/>
        <c:axId val="50020002"/>
      </c:lineChart>
      <c:catAx>
        <c:axId val="5002000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txPr>
          <a:bodyPr/>
          <a:lstStyle/>
          <a:p>
            <a:pPr>
              <a:defRPr sz="800" baseline="0"/>
            </a:pPr>
            <a:endParaRPr lang="en-US"/>
          </a:p>
        </c:txPr>
        <c:crossAx val="50020002"/>
        <c:crosses val="autoZero"/>
        <c:auto val="1"/>
        <c:lblAlgn val="ctr"/>
        <c:lblOffset val="100"/>
        <c:noMultiLvlLbl val="0"/>
      </c:catAx>
      <c:valAx>
        <c:axId val="50020002"/>
        <c:scaling>
          <c:orientation val="minMax"/>
        </c:scaling>
        <c:delete val="0"/>
        <c:axPos val="l"/>
        <c:majorGridlines>
          <c:spPr>
            <a:ln>
              <a:solidFill>
                <a:srgbClr val="E6E6E6"/>
              </a:solidFill>
            </a:ln>
          </c:spPr>
        </c:majorGridlines>
        <c:numFmt formatCode="\£#,##0,&quot;k&quot;" sourceLinked="0"/>
        <c:majorTickMark val="out"/>
        <c:minorTickMark val="none"/>
        <c:tickLblPos val="nextTo"/>
        <c:crossAx val="50020001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aseline="0">
                <a:solidFill>
                  <a:srgbClr val="1F3B5C"/>
                </a:solidFill>
              </a:defRPr>
            </a:pPr>
            <a:r>
              <a:rPr lang="en-US" sz="1100" baseline="0">
                <a:solidFill>
                  <a:srgbClr val="1F3B5C"/>
                </a:solidFill>
              </a:rPr>
              <a:t>Month-end cash by scenario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Base</c:v>
          </c:tx>
          <c:spPr>
            <a:ln w="28575">
              <a:solidFill>
                <a:srgbClr val="2F5D8A"/>
              </a:solidFill>
            </a:ln>
          </c:spPr>
          <c:marker>
            <c:symbol val="none"/>
          </c:marker>
          <c:cat>
            <c:strRef>
              <c:f>ChartData!$A$5:$A$16</c:f>
              <c:strCache>
                <c:ptCount val="12"/>
                <c:pt idx="0">
                  <c:v>Apr-26</c:v>
                </c:pt>
                <c:pt idx="1">
                  <c:v>May-26</c:v>
                </c:pt>
                <c:pt idx="2">
                  <c:v>Jun-26</c:v>
                </c:pt>
                <c:pt idx="3">
                  <c:v>Jul-26</c:v>
                </c:pt>
                <c:pt idx="4">
                  <c:v>Aug-26</c:v>
                </c:pt>
                <c:pt idx="5">
                  <c:v>Sep-26</c:v>
                </c:pt>
                <c:pt idx="6">
                  <c:v>Oct-26</c:v>
                </c:pt>
                <c:pt idx="7">
                  <c:v>Nov-26</c:v>
                </c:pt>
                <c:pt idx="8">
                  <c:v>Dec-26</c:v>
                </c:pt>
                <c:pt idx="9">
                  <c:v>Jan-27</c:v>
                </c:pt>
                <c:pt idx="10">
                  <c:v>Feb-27</c:v>
                </c:pt>
                <c:pt idx="11">
                  <c:v>Mar-27</c:v>
                </c:pt>
              </c:strCache>
            </c:strRef>
          </c:cat>
          <c:val>
            <c:numRef>
              <c:f>ChartData!$I$5:$I$16</c:f>
              <c:numCache>
                <c:formatCode>\£#,##0;\(\£#,##0\);"-"</c:formatCode>
                <c:ptCount val="12"/>
                <c:pt idx="0">
                  <c:v>566251.5</c:v>
                </c:pt>
                <c:pt idx="1">
                  <c:v>530871.92500000005</c:v>
                </c:pt>
                <c:pt idx="2">
                  <c:v>496124.3666666667</c:v>
                </c:pt>
                <c:pt idx="3">
                  <c:v>466976.40833333338</c:v>
                </c:pt>
                <c:pt idx="4">
                  <c:v>443784.80000000005</c:v>
                </c:pt>
                <c:pt idx="5">
                  <c:v>421008.13333333342</c:v>
                </c:pt>
                <c:pt idx="6">
                  <c:v>409591.25466666679</c:v>
                </c:pt>
                <c:pt idx="7">
                  <c:v>406005.58400000015</c:v>
                </c:pt>
                <c:pt idx="8">
                  <c:v>403274.23800000019</c:v>
                </c:pt>
                <c:pt idx="9">
                  <c:v>406922.44094444462</c:v>
                </c:pt>
                <c:pt idx="10">
                  <c:v>409990.4641111113</c:v>
                </c:pt>
                <c:pt idx="11">
                  <c:v>419338.49816666689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F98-44B2-82E3-F739DE0A812E}"/>
            </c:ext>
          </c:extLst>
        </c:ser>
        <c:ser>
          <c:idx val="1"/>
          <c:order val="1"/>
          <c:tx>
            <c:v>Upside</c:v>
          </c:tx>
          <c:spPr>
            <a:ln w="28575">
              <a:solidFill>
                <a:srgbClr val="E07B39"/>
              </a:solidFill>
            </a:ln>
          </c:spPr>
          <c:marker>
            <c:symbol val="none"/>
          </c:marker>
          <c:cat>
            <c:strRef>
              <c:f>ChartData!$A$5:$A$16</c:f>
              <c:strCache>
                <c:ptCount val="12"/>
                <c:pt idx="0">
                  <c:v>Apr-26</c:v>
                </c:pt>
                <c:pt idx="1">
                  <c:v>May-26</c:v>
                </c:pt>
                <c:pt idx="2">
                  <c:v>Jun-26</c:v>
                </c:pt>
                <c:pt idx="3">
                  <c:v>Jul-26</c:v>
                </c:pt>
                <c:pt idx="4">
                  <c:v>Aug-26</c:v>
                </c:pt>
                <c:pt idx="5">
                  <c:v>Sep-26</c:v>
                </c:pt>
                <c:pt idx="6">
                  <c:v>Oct-26</c:v>
                </c:pt>
                <c:pt idx="7">
                  <c:v>Nov-26</c:v>
                </c:pt>
                <c:pt idx="8">
                  <c:v>Dec-26</c:v>
                </c:pt>
                <c:pt idx="9">
                  <c:v>Jan-27</c:v>
                </c:pt>
                <c:pt idx="10">
                  <c:v>Feb-27</c:v>
                </c:pt>
                <c:pt idx="11">
                  <c:v>Mar-27</c:v>
                </c:pt>
              </c:strCache>
            </c:strRef>
          </c:cat>
          <c:val>
            <c:numRef>
              <c:f>ChartData!$J$5:$J$16</c:f>
              <c:numCache>
                <c:formatCode>\£#,##0;\(\£#,##0\);"-"</c:formatCode>
                <c:ptCount val="12"/>
                <c:pt idx="0">
                  <c:v>570968.68000000005</c:v>
                </c:pt>
                <c:pt idx="1">
                  <c:v>538889.82166666677</c:v>
                </c:pt>
                <c:pt idx="2">
                  <c:v>509792.6100000001</c:v>
                </c:pt>
                <c:pt idx="3">
                  <c:v>489115.96333333349</c:v>
                </c:pt>
                <c:pt idx="4">
                  <c:v>471712.13333333348</c:v>
                </c:pt>
                <c:pt idx="5">
                  <c:v>457726.70500000019</c:v>
                </c:pt>
                <c:pt idx="6">
                  <c:v>460352.33641666686</c:v>
                </c:pt>
                <c:pt idx="7">
                  <c:v>467322.49297916691</c:v>
                </c:pt>
                <c:pt idx="8">
                  <c:v>477994.3022222225</c:v>
                </c:pt>
                <c:pt idx="9">
                  <c:v>497776.23316666693</c:v>
                </c:pt>
                <c:pt idx="10">
                  <c:v>520059.70908333361</c:v>
                </c:pt>
                <c:pt idx="11">
                  <c:v>552042.60551388911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F98-44B2-82E3-F739DE0A812E}"/>
            </c:ext>
          </c:extLst>
        </c:ser>
        <c:ser>
          <c:idx val="2"/>
          <c:order val="2"/>
          <c:tx>
            <c:v>Downside</c:v>
          </c:tx>
          <c:spPr>
            <a:ln w="28575">
              <a:solidFill>
                <a:srgbClr val="4C9F70"/>
              </a:solidFill>
            </a:ln>
          </c:spPr>
          <c:marker>
            <c:symbol val="none"/>
          </c:marker>
          <c:cat>
            <c:strRef>
              <c:f>ChartData!$A$5:$A$16</c:f>
              <c:strCache>
                <c:ptCount val="12"/>
                <c:pt idx="0">
                  <c:v>Apr-26</c:v>
                </c:pt>
                <c:pt idx="1">
                  <c:v>May-26</c:v>
                </c:pt>
                <c:pt idx="2">
                  <c:v>Jun-26</c:v>
                </c:pt>
                <c:pt idx="3">
                  <c:v>Jul-26</c:v>
                </c:pt>
                <c:pt idx="4">
                  <c:v>Aug-26</c:v>
                </c:pt>
                <c:pt idx="5">
                  <c:v>Sep-26</c:v>
                </c:pt>
                <c:pt idx="6">
                  <c:v>Oct-26</c:v>
                </c:pt>
                <c:pt idx="7">
                  <c:v>Nov-26</c:v>
                </c:pt>
                <c:pt idx="8">
                  <c:v>Dec-26</c:v>
                </c:pt>
                <c:pt idx="9">
                  <c:v>Jan-27</c:v>
                </c:pt>
                <c:pt idx="10">
                  <c:v>Feb-27</c:v>
                </c:pt>
                <c:pt idx="11">
                  <c:v>Mar-27</c:v>
                </c:pt>
              </c:strCache>
            </c:strRef>
          </c:cat>
          <c:val>
            <c:numRef>
              <c:f>ChartData!$K$5:$K$16</c:f>
              <c:numCache>
                <c:formatCode>\£#,##0;\(\£#,##0\);"-"</c:formatCode>
                <c:ptCount val="12"/>
                <c:pt idx="0">
                  <c:v>559922.625</c:v>
                </c:pt>
                <c:pt idx="1">
                  <c:v>513856</c:v>
                </c:pt>
                <c:pt idx="2">
                  <c:v>465131.79166666669</c:v>
                </c:pt>
                <c:pt idx="3">
                  <c:v>418941.0458333334</c:v>
                </c:pt>
                <c:pt idx="4">
                  <c:v>375151.97500000009</c:v>
                </c:pt>
                <c:pt idx="5">
                  <c:v>328197.28333333344</c:v>
                </c:pt>
                <c:pt idx="6">
                  <c:v>286175.85616666672</c:v>
                </c:pt>
                <c:pt idx="7">
                  <c:v>247301.83075000008</c:v>
                </c:pt>
                <c:pt idx="8">
                  <c:v>210882.3738333334</c:v>
                </c:pt>
                <c:pt idx="9">
                  <c:v>176887.39541666672</c:v>
                </c:pt>
                <c:pt idx="10">
                  <c:v>145316.89550000007</c:v>
                </c:pt>
                <c:pt idx="11">
                  <c:v>116066.2708333334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F98-44B2-82E3-F739DE0A812E}"/>
            </c:ext>
          </c:extLst>
        </c:ser>
        <c:ser>
          <c:idx val="3"/>
          <c:order val="3"/>
          <c:tx>
            <c:v>Budget</c:v>
          </c:tx>
          <c:spPr>
            <a:ln w="19050">
              <a:solidFill>
                <a:srgbClr val="7A7A7A"/>
              </a:solidFill>
              <a:prstDash val="dash"/>
            </a:ln>
          </c:spPr>
          <c:marker>
            <c:symbol val="none"/>
          </c:marker>
          <c:cat>
            <c:strRef>
              <c:f>ChartData!$A$5:$A$16</c:f>
              <c:strCache>
                <c:ptCount val="12"/>
                <c:pt idx="0">
                  <c:v>Apr-26</c:v>
                </c:pt>
                <c:pt idx="1">
                  <c:v>May-26</c:v>
                </c:pt>
                <c:pt idx="2">
                  <c:v>Jun-26</c:v>
                </c:pt>
                <c:pt idx="3">
                  <c:v>Jul-26</c:v>
                </c:pt>
                <c:pt idx="4">
                  <c:v>Aug-26</c:v>
                </c:pt>
                <c:pt idx="5">
                  <c:v>Sep-26</c:v>
                </c:pt>
                <c:pt idx="6">
                  <c:v>Oct-26</c:v>
                </c:pt>
                <c:pt idx="7">
                  <c:v>Nov-26</c:v>
                </c:pt>
                <c:pt idx="8">
                  <c:v>Dec-26</c:v>
                </c:pt>
                <c:pt idx="9">
                  <c:v>Jan-27</c:v>
                </c:pt>
                <c:pt idx="10">
                  <c:v>Feb-27</c:v>
                </c:pt>
                <c:pt idx="11">
                  <c:v>Mar-27</c:v>
                </c:pt>
              </c:strCache>
            </c:strRef>
          </c:cat>
          <c:val>
            <c:numRef>
              <c:f>ChartData!$L$5:$L$16</c:f>
              <c:numCache>
                <c:formatCode>\£#,##0;\(\£#,##0\);"-"</c:formatCode>
                <c:ptCount val="12"/>
                <c:pt idx="0">
                  <c:v>566251.5</c:v>
                </c:pt>
                <c:pt idx="1">
                  <c:v>530871.92500000005</c:v>
                </c:pt>
                <c:pt idx="2">
                  <c:v>496124.3666666667</c:v>
                </c:pt>
                <c:pt idx="3">
                  <c:v>466976.40833333338</c:v>
                </c:pt>
                <c:pt idx="4">
                  <c:v>443784.8</c:v>
                </c:pt>
                <c:pt idx="5">
                  <c:v>421008.13333333342</c:v>
                </c:pt>
                <c:pt idx="6">
                  <c:v>409591.25466666679</c:v>
                </c:pt>
                <c:pt idx="7">
                  <c:v>406005.58400000009</c:v>
                </c:pt>
                <c:pt idx="8">
                  <c:v>403274.23800000019</c:v>
                </c:pt>
                <c:pt idx="9">
                  <c:v>406922.44094444462</c:v>
                </c:pt>
                <c:pt idx="10">
                  <c:v>409990.4641111113</c:v>
                </c:pt>
                <c:pt idx="11">
                  <c:v>419338.49816666689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F98-44B2-82E3-F739DE0A81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30001"/>
        <c:axId val="50030002"/>
      </c:lineChart>
      <c:catAx>
        <c:axId val="5003000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 baseline="0"/>
            </a:pPr>
            <a:endParaRPr lang="en-US"/>
          </a:p>
        </c:txPr>
        <c:crossAx val="50030002"/>
        <c:crosses val="autoZero"/>
        <c:auto val="1"/>
        <c:lblAlgn val="ctr"/>
        <c:lblOffset val="100"/>
        <c:noMultiLvlLbl val="0"/>
      </c:catAx>
      <c:valAx>
        <c:axId val="50030002"/>
        <c:scaling>
          <c:orientation val="minMax"/>
        </c:scaling>
        <c:delete val="0"/>
        <c:axPos val="l"/>
        <c:majorGridlines>
          <c:spPr>
            <a:ln>
              <a:solidFill>
                <a:srgbClr val="E6E6E6"/>
              </a:solidFill>
            </a:ln>
          </c:spPr>
        </c:majorGridlines>
        <c:numFmt formatCode="\£#,##0,&quot;k&quot;" sourceLinked="0"/>
        <c:majorTickMark val="out"/>
        <c:minorTickMark val="none"/>
        <c:tickLblPos val="nextTo"/>
        <c:crossAx val="50030001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aseline="0">
                <a:solidFill>
                  <a:srgbClr val="1F3B5C"/>
                </a:solidFill>
              </a:defRPr>
            </a:pPr>
            <a:r>
              <a:rPr lang="en-US" sz="1100" baseline="0">
                <a:solidFill>
                  <a:srgbClr val="1F3B5C"/>
                </a:solidFill>
              </a:rPr>
              <a:t>YTD variance by line: favourable (+) / adverse (-)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YTD variance (F/A)</c:v>
          </c:tx>
          <c:spPr>
            <a:solidFill>
              <a:srgbClr val="2F5D8A"/>
            </a:solidFill>
          </c:spPr>
          <c:invertIfNegative val="1"/>
          <c:dLbls>
            <c:numFmt formatCode="\£#,##0,&quot;k&quot;;\-\£#,##0,&quot;k&quot;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aseline="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ChartData!$A$22:$A$32</c:f>
              <c:strCache>
                <c:ptCount val="11"/>
                <c:pt idx="0">
                  <c:v>Subscription revenue</c:v>
                </c:pt>
                <c:pt idx="1">
                  <c:v>Onboarding revenue</c:v>
                </c:pt>
                <c:pt idx="2">
                  <c:v>Hosting</c:v>
                </c:pt>
                <c:pt idx="3">
                  <c:v>Customer support</c:v>
                </c:pt>
                <c:pt idx="4">
                  <c:v>Payment fees</c:v>
                </c:pt>
                <c:pt idx="5">
                  <c:v>Salaries and on-costs</c:v>
                </c:pt>
                <c:pt idx="6">
                  <c:v>Marketing</c:v>
                </c:pt>
                <c:pt idx="7">
                  <c:v>Software and tools</c:v>
                </c:pt>
                <c:pt idx="8">
                  <c:v>Rent and facilities</c:v>
                </c:pt>
                <c:pt idx="9">
                  <c:v>Professional fees</c:v>
                </c:pt>
                <c:pt idx="10">
                  <c:v>Other G&amp;A</c:v>
                </c:pt>
              </c:strCache>
            </c:strRef>
          </c:cat>
          <c:val>
            <c:numRef>
              <c:f>ChartData!$B$22:$B$32</c:f>
              <c:numCache>
                <c:formatCode>\£#,##0;\(\£#,##0\);"-"</c:formatCode>
                <c:ptCount val="11"/>
                <c:pt idx="0">
                  <c:v>-16201</c:v>
                </c:pt>
                <c:pt idx="1">
                  <c:v>-9569</c:v>
                </c:pt>
                <c:pt idx="2">
                  <c:v>-2390</c:v>
                </c:pt>
                <c:pt idx="3">
                  <c:v>1032</c:v>
                </c:pt>
                <c:pt idx="4">
                  <c:v>420.19999999999891</c:v>
                </c:pt>
                <c:pt idx="5">
                  <c:v>14556.666666666511</c:v>
                </c:pt>
                <c:pt idx="6">
                  <c:v>7020</c:v>
                </c:pt>
                <c:pt idx="7">
                  <c:v>-719</c:v>
                </c:pt>
                <c:pt idx="8">
                  <c:v>62</c:v>
                </c:pt>
                <c:pt idx="9">
                  <c:v>-4235</c:v>
                </c:pt>
                <c:pt idx="10">
                  <c:v>-1753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B5484C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0DCA-4DC1-8F6C-2019574770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40001"/>
        <c:axId val="50040002"/>
      </c:barChart>
      <c:catAx>
        <c:axId val="50040001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low"/>
        <c:txPr>
          <a:bodyPr/>
          <a:lstStyle/>
          <a:p>
            <a:pPr>
              <a:defRPr sz="800" baseline="0"/>
            </a:pPr>
            <a:endParaRPr lang="en-US"/>
          </a:p>
        </c:txPr>
        <c:crossAx val="50040002"/>
        <c:crosses val="autoZero"/>
        <c:auto val="1"/>
        <c:lblAlgn val="ctr"/>
        <c:lblOffset val="100"/>
        <c:noMultiLvlLbl val="0"/>
      </c:catAx>
      <c:valAx>
        <c:axId val="50040002"/>
        <c:scaling>
          <c:orientation val="minMax"/>
        </c:scaling>
        <c:delete val="0"/>
        <c:axPos val="t"/>
        <c:majorGridlines>
          <c:spPr>
            <a:ln>
              <a:solidFill>
                <a:srgbClr val="E6E6E6"/>
              </a:solidFill>
            </a:ln>
          </c:spPr>
        </c:majorGridlines>
        <c:numFmt formatCode="\£#,##0,&quot;k&quot;" sourceLinked="0"/>
        <c:majorTickMark val="out"/>
        <c:minorTickMark val="none"/>
        <c:tickLblPos val="nextTo"/>
        <c:crossAx val="50040001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20</xdr:row>
      <xdr:rowOff>0</xdr:rowOff>
    </xdr:from>
    <xdr:to>
      <xdr:col>7</xdr:col>
      <xdr:colOff>647700</xdr:colOff>
      <xdr:row>34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20</xdr:row>
      <xdr:rowOff>0</xdr:rowOff>
    </xdr:from>
    <xdr:to>
      <xdr:col>15</xdr:col>
      <xdr:colOff>647700</xdr:colOff>
      <xdr:row>34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35</xdr:row>
      <xdr:rowOff>0</xdr:rowOff>
    </xdr:from>
    <xdr:to>
      <xdr:col>7</xdr:col>
      <xdr:colOff>647700</xdr:colOff>
      <xdr:row>49</xdr:row>
      <xdr:rowOff>95250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35</xdr:row>
      <xdr:rowOff>0</xdr:rowOff>
    </xdr:from>
    <xdr:to>
      <xdr:col>15</xdr:col>
      <xdr:colOff>647700</xdr:colOff>
      <xdr:row>49</xdr:row>
      <xdr:rowOff>95250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B5C"/>
    <pageSetUpPr fitToPage="1"/>
  </sheetPr>
  <dimension ref="B2:C15"/>
  <sheetViews>
    <sheetView showGridLines="0" tabSelected="1" workbookViewId="0"/>
  </sheetViews>
  <sheetFormatPr defaultRowHeight="15" x14ac:dyDescent="0.25"/>
  <cols>
    <col min="1" max="1" width="3.7109375" customWidth="1"/>
    <col min="2" max="2" width="26.7109375" customWidth="1"/>
    <col min="3" max="3" width="100.7109375" customWidth="1"/>
  </cols>
  <sheetData>
    <row r="2" spans="2:3" ht="23.25" x14ac:dyDescent="0.25">
      <c r="B2" s="1" t="s">
        <v>264</v>
      </c>
    </row>
    <row r="3" spans="2:3" x14ac:dyDescent="0.25">
      <c r="B3" s="2" t="s">
        <v>265</v>
      </c>
    </row>
    <row r="5" spans="2:3" x14ac:dyDescent="0.25">
      <c r="B5" s="3" t="s">
        <v>266</v>
      </c>
      <c r="C5" s="3" t="str">
        <f>Check_Status</f>
        <v>All checks pass</v>
      </c>
    </row>
    <row r="6" spans="2:3" x14ac:dyDescent="0.25">
      <c r="B6" s="3" t="s">
        <v>267</v>
      </c>
      <c r="C6" s="3" t="str">
        <f>Scenario</f>
        <v>Base</v>
      </c>
    </row>
    <row r="8" spans="2:3" ht="33.950000000000003" customHeight="1" x14ac:dyDescent="0.25">
      <c r="B8" s="4" t="s">
        <v>268</v>
      </c>
      <c r="C8" s="5" t="s">
        <v>269</v>
      </c>
    </row>
    <row r="9" spans="2:3" ht="48" customHeight="1" x14ac:dyDescent="0.25">
      <c r="B9" s="4" t="s">
        <v>270</v>
      </c>
      <c r="C9" s="5" t="s">
        <v>271</v>
      </c>
    </row>
    <row r="10" spans="2:3" ht="132" customHeight="1" x14ac:dyDescent="0.25">
      <c r="B10" s="4" t="s">
        <v>272</v>
      </c>
      <c r="C10" s="5" t="s">
        <v>273</v>
      </c>
    </row>
    <row r="11" spans="2:3" ht="33.950000000000003" customHeight="1" x14ac:dyDescent="0.25">
      <c r="B11" s="4" t="s">
        <v>274</v>
      </c>
      <c r="C11" s="5" t="s">
        <v>275</v>
      </c>
    </row>
    <row r="12" spans="2:3" ht="62.1" customHeight="1" x14ac:dyDescent="0.25">
      <c r="B12" s="4" t="s">
        <v>276</v>
      </c>
      <c r="C12" s="5" t="s">
        <v>277</v>
      </c>
    </row>
    <row r="13" spans="2:3" ht="33.950000000000003" customHeight="1" x14ac:dyDescent="0.25">
      <c r="B13" s="4" t="s">
        <v>278</v>
      </c>
      <c r="C13" s="5" t="s">
        <v>279</v>
      </c>
    </row>
    <row r="14" spans="2:3" ht="48" customHeight="1" x14ac:dyDescent="0.25">
      <c r="B14" s="4" t="s">
        <v>280</v>
      </c>
      <c r="C14" s="5" t="s">
        <v>281</v>
      </c>
    </row>
    <row r="15" spans="2:3" ht="48" customHeight="1" x14ac:dyDescent="0.25">
      <c r="B15" s="4" t="s">
        <v>282</v>
      </c>
      <c r="C15" s="5" t="s">
        <v>283</v>
      </c>
    </row>
  </sheetData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E07B39"/>
    <pageSetUpPr fitToPage="1"/>
  </sheetPr>
  <dimension ref="B1:Q52"/>
  <sheetViews>
    <sheetView showGridLines="0" workbookViewId="0"/>
  </sheetViews>
  <sheetFormatPr defaultRowHeight="15" x14ac:dyDescent="0.25"/>
  <cols>
    <col min="1" max="1" width="2.7109375" customWidth="1"/>
    <col min="2" max="17" width="11.7109375" customWidth="1"/>
  </cols>
  <sheetData>
    <row r="1" spans="2:17" ht="8.1" customHeight="1" x14ac:dyDescent="0.25"/>
    <row r="2" spans="2:17" ht="23.25" x14ac:dyDescent="0.25">
      <c r="B2" s="32" t="s">
        <v>252</v>
      </c>
      <c r="C2" s="32"/>
      <c r="D2" s="32"/>
      <c r="E2" s="32"/>
      <c r="F2" s="32"/>
      <c r="G2" s="32"/>
      <c r="H2" s="32"/>
      <c r="I2" s="32"/>
      <c r="J2" s="32"/>
      <c r="K2" s="32"/>
      <c r="L2" s="32"/>
      <c r="N2" s="3" t="s">
        <v>81</v>
      </c>
      <c r="O2" s="34" t="s">
        <v>4</v>
      </c>
      <c r="P2" s="34"/>
    </row>
    <row r="3" spans="2:17" x14ac:dyDescent="0.25">
      <c r="B3" s="33" t="s">
        <v>253</v>
      </c>
      <c r="C3" s="33"/>
      <c r="D3" s="33"/>
      <c r="E3" s="33"/>
      <c r="F3" s="33"/>
      <c r="G3" s="33"/>
      <c r="H3" s="33"/>
      <c r="I3" s="33"/>
      <c r="J3" s="33"/>
      <c r="K3" s="33"/>
      <c r="L3" s="33"/>
      <c r="N3" s="3" t="s">
        <v>254</v>
      </c>
      <c r="O3" s="35" t="str">
        <f>Check_Status</f>
        <v>All checks pass</v>
      </c>
      <c r="P3" s="35"/>
      <c r="Q3" s="35"/>
    </row>
    <row r="5" spans="2:17" x14ac:dyDescent="0.25">
      <c r="B5" s="36" t="s">
        <v>255</v>
      </c>
      <c r="C5" s="36"/>
      <c r="D5" s="36" t="s">
        <v>256</v>
      </c>
      <c r="E5" s="36"/>
      <c r="F5" s="36" t="s">
        <v>257</v>
      </c>
      <c r="G5" s="36"/>
      <c r="I5" s="36" t="s">
        <v>258</v>
      </c>
      <c r="J5" s="36"/>
      <c r="K5" s="36" t="s">
        <v>259</v>
      </c>
      <c r="L5" s="36"/>
      <c r="M5" s="36" t="s">
        <v>260</v>
      </c>
      <c r="N5" s="36"/>
    </row>
    <row r="6" spans="2:17" ht="18" customHeight="1" x14ac:dyDescent="0.25">
      <c r="B6" s="37">
        <f>Budget_vs_Actual!C8</f>
        <v>950710</v>
      </c>
      <c r="C6" s="37"/>
      <c r="D6" s="37">
        <f>Budget_vs_Actual!C21</f>
        <v>-141808</v>
      </c>
      <c r="E6" s="37"/>
      <c r="F6" s="37">
        <f>Budget_vs_Actual!I8</f>
        <v>2224757.6</v>
      </c>
      <c r="G6" s="37"/>
      <c r="I6" s="37">
        <f>Budget_vs_Actual!I21</f>
        <v>-81495.113999999856</v>
      </c>
      <c r="J6" s="37"/>
      <c r="K6" s="37">
        <f>CHOOSE(Scn_Idx,Model_Base!N47,Model_Upside!N47,Model_Downside!N47)</f>
        <v>419338.49816666689</v>
      </c>
      <c r="L6" s="37"/>
      <c r="M6" s="40">
        <f>Budget_vs_Actual!C25</f>
        <v>518</v>
      </c>
      <c r="N6" s="40"/>
    </row>
    <row r="7" spans="2:17" ht="18" customHeight="1" x14ac:dyDescent="0.25">
      <c r="B7" s="37"/>
      <c r="C7" s="37"/>
      <c r="D7" s="37"/>
      <c r="E7" s="37"/>
      <c r="F7" s="37"/>
      <c r="G7" s="37"/>
      <c r="I7" s="37"/>
      <c r="J7" s="37"/>
      <c r="K7" s="37"/>
      <c r="L7" s="37"/>
      <c r="M7" s="40"/>
      <c r="N7" s="40"/>
    </row>
    <row r="8" spans="2:17" x14ac:dyDescent="0.25">
      <c r="B8" s="38">
        <f>Budget_vs_Actual!E8</f>
        <v>-2.6390709487137474E-2</v>
      </c>
      <c r="C8" s="38"/>
      <c r="D8" s="39">
        <f>Budget_vs_Actual!D21</f>
        <v>-11776.13333333339</v>
      </c>
      <c r="E8" s="39"/>
      <c r="F8" s="38">
        <f>Budget_vs_Actual!K8</f>
        <v>-1.1450648283540268E-2</v>
      </c>
      <c r="G8" s="38"/>
      <c r="I8" s="39">
        <f>Budget_vs_Actual!J21</f>
        <v>-11776.13333333339</v>
      </c>
      <c r="J8" s="39"/>
      <c r="K8" s="38" t="str">
        <f>INDEX(Model_Base!C4:N4,MATCH(MIN(CHOOSE(Scn_Idx,Model_Base!C47:N47,Model_Upside!C47:N47,Model_Downside!C47:N47)),CHOOSE(Scn_Idx,Model_Base!C47:N47,Model_Upside!C47:N47,Model_Downside!C47:N47),0))&amp;" is the low point"</f>
        <v>Dec-26 is the low point</v>
      </c>
      <c r="L8" s="39"/>
      <c r="M8" s="38">
        <f>Budget_vs_Actual!E25</f>
        <v>-5.128205128205128E-2</v>
      </c>
      <c r="N8" s="38"/>
    </row>
    <row r="10" spans="2:17" x14ac:dyDescent="0.25">
      <c r="B10" s="41" t="s">
        <v>197</v>
      </c>
      <c r="C10" s="41"/>
      <c r="D10" s="41"/>
      <c r="E10" s="41"/>
      <c r="F10" s="41"/>
      <c r="G10" s="41"/>
      <c r="H10" s="41"/>
      <c r="I10" s="41"/>
      <c r="J10" s="41"/>
      <c r="K10" s="41"/>
    </row>
    <row r="11" spans="2:17" x14ac:dyDescent="0.25">
      <c r="B11" s="42" t="s">
        <v>189</v>
      </c>
      <c r="C11" s="42"/>
      <c r="D11" s="42"/>
      <c r="E11" s="42"/>
      <c r="F11" s="42"/>
      <c r="G11" s="8" t="s">
        <v>190</v>
      </c>
      <c r="H11" s="8" t="s">
        <v>4</v>
      </c>
      <c r="I11" s="8" t="s">
        <v>5</v>
      </c>
      <c r="J11" s="8" t="s">
        <v>6</v>
      </c>
    </row>
    <row r="12" spans="2:17" x14ac:dyDescent="0.25">
      <c r="B12" s="43" t="s">
        <v>121</v>
      </c>
      <c r="C12" s="43"/>
      <c r="D12" s="43"/>
      <c r="E12" s="43"/>
      <c r="F12" s="43"/>
      <c r="G12" s="10">
        <f>Scenarios!B5</f>
        <v>2250527.6</v>
      </c>
      <c r="H12" s="10">
        <f>Scenarios!C5</f>
        <v>2250527.6</v>
      </c>
      <c r="I12" s="10">
        <f>Scenarios!D5</f>
        <v>2612225.7999999998</v>
      </c>
      <c r="J12" s="10">
        <f>Scenarios!E5</f>
        <v>1825101.4999999998</v>
      </c>
    </row>
    <row r="13" spans="2:17" x14ac:dyDescent="0.25">
      <c r="B13" s="43" t="s">
        <v>134</v>
      </c>
      <c r="C13" s="43"/>
      <c r="D13" s="43"/>
      <c r="E13" s="43"/>
      <c r="F13" s="43"/>
      <c r="G13" s="10">
        <f>Scenarios!B9</f>
        <v>-69718.980666666466</v>
      </c>
      <c r="H13" s="10">
        <f>Scenarios!C9</f>
        <v>-69718.980666666466</v>
      </c>
      <c r="I13" s="10">
        <f>Scenarios!D9</f>
        <v>95848.746333333489</v>
      </c>
      <c r="J13" s="10">
        <f>Scenarios!E9</f>
        <v>-389178.68916666659</v>
      </c>
    </row>
    <row r="14" spans="2:17" x14ac:dyDescent="0.25">
      <c r="B14" s="43" t="s">
        <v>135</v>
      </c>
      <c r="C14" s="43"/>
      <c r="D14" s="43"/>
      <c r="E14" s="43"/>
      <c r="F14" s="43"/>
      <c r="G14" s="11">
        <f>Scenarios!B10</f>
        <v>-3.0978949410203394E-2</v>
      </c>
      <c r="H14" s="11">
        <f>Scenarios!C10</f>
        <v>-3.0978949410203394E-2</v>
      </c>
      <c r="I14" s="11">
        <f>Scenarios!D10</f>
        <v>3.6692366461327154E-2</v>
      </c>
      <c r="J14" s="11">
        <f>Scenarios!E10</f>
        <v>-0.21323673733579565</v>
      </c>
    </row>
    <row r="15" spans="2:17" x14ac:dyDescent="0.25">
      <c r="B15" s="43" t="s">
        <v>202</v>
      </c>
      <c r="C15" s="43"/>
      <c r="D15" s="43"/>
      <c r="E15" s="43"/>
      <c r="F15" s="43"/>
      <c r="G15" s="12">
        <f>Scenarios!B12</f>
        <v>680</v>
      </c>
      <c r="H15" s="12">
        <f>Scenarios!C12</f>
        <v>680</v>
      </c>
      <c r="I15" s="12">
        <f>Scenarios!D12</f>
        <v>803</v>
      </c>
      <c r="J15" s="12">
        <f>Scenarios!E12</f>
        <v>532</v>
      </c>
    </row>
    <row r="16" spans="2:17" x14ac:dyDescent="0.25">
      <c r="B16" s="43" t="s">
        <v>205</v>
      </c>
      <c r="C16" s="43"/>
      <c r="D16" s="43"/>
      <c r="E16" s="43"/>
      <c r="F16" s="43"/>
      <c r="G16" s="10">
        <f>Scenarios!B15</f>
        <v>419338.49816666689</v>
      </c>
      <c r="H16" s="10">
        <f>Scenarios!C15</f>
        <v>419338.49816666689</v>
      </c>
      <c r="I16" s="10">
        <f>Scenarios!D15</f>
        <v>552042.60551388911</v>
      </c>
      <c r="J16" s="10">
        <f>Scenarios!E15</f>
        <v>116066.2708333334</v>
      </c>
    </row>
    <row r="17" spans="2:10" x14ac:dyDescent="0.25">
      <c r="B17" s="43" t="s">
        <v>206</v>
      </c>
      <c r="C17" s="43"/>
      <c r="D17" s="43"/>
      <c r="E17" s="43"/>
      <c r="F17" s="43"/>
      <c r="G17" s="10">
        <f>Scenarios!B17</f>
        <v>403274.23800000019</v>
      </c>
      <c r="H17" s="10">
        <f>Scenarios!C17</f>
        <v>403274.23800000019</v>
      </c>
      <c r="I17" s="10">
        <f>Scenarios!D17</f>
        <v>457726.70500000019</v>
      </c>
      <c r="J17" s="10">
        <f>Scenarios!E17</f>
        <v>116066.2708333334</v>
      </c>
    </row>
    <row r="19" spans="2:10" x14ac:dyDescent="0.25">
      <c r="B19" s="43" t="s">
        <v>261</v>
      </c>
      <c r="C19" s="43"/>
      <c r="D19" s="43"/>
      <c r="E19" s="43"/>
      <c r="F19" s="43"/>
      <c r="G19" s="13" t="s">
        <v>263</v>
      </c>
      <c r="H19" s="14" t="str">
        <f>Scenarios!C19</f>
        <v>Cash positive</v>
      </c>
      <c r="I19" s="14" t="str">
        <f>Scenarios!D19</f>
        <v>Cash positive</v>
      </c>
      <c r="J19" s="14">
        <f>Scenarios!E19</f>
        <v>3.9679928943739728</v>
      </c>
    </row>
    <row r="52" spans="2:17" x14ac:dyDescent="0.25">
      <c r="B52" s="44" t="s">
        <v>262</v>
      </c>
      <c r="C52" s="44"/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</row>
  </sheetData>
  <mergeCells count="32">
    <mergeCell ref="B15:F15"/>
    <mergeCell ref="B16:F16"/>
    <mergeCell ref="B17:F17"/>
    <mergeCell ref="B19:F19"/>
    <mergeCell ref="B52:Q52"/>
    <mergeCell ref="B10:K10"/>
    <mergeCell ref="B11:F11"/>
    <mergeCell ref="B12:F12"/>
    <mergeCell ref="B13:F13"/>
    <mergeCell ref="B14:F14"/>
    <mergeCell ref="K6:L7"/>
    <mergeCell ref="K8:L8"/>
    <mergeCell ref="M5:N5"/>
    <mergeCell ref="M6:N7"/>
    <mergeCell ref="M8:N8"/>
    <mergeCell ref="F6:G7"/>
    <mergeCell ref="F8:G8"/>
    <mergeCell ref="I5:J5"/>
    <mergeCell ref="I6:J7"/>
    <mergeCell ref="I8:J8"/>
    <mergeCell ref="B6:C7"/>
    <mergeCell ref="B8:C8"/>
    <mergeCell ref="D5:E5"/>
    <mergeCell ref="D6:E7"/>
    <mergeCell ref="D8:E8"/>
    <mergeCell ref="B2:L2"/>
    <mergeCell ref="B3:L3"/>
    <mergeCell ref="O2:P2"/>
    <mergeCell ref="O3:Q3"/>
    <mergeCell ref="B5:C5"/>
    <mergeCell ref="F5:G5"/>
    <mergeCell ref="K5:L5"/>
  </mergeCells>
  <conditionalFormatting sqref="O3">
    <cfRule type="beginsWith" dxfId="13" priority="1" operator="beginsWith" text="All">
      <formula>LEFT(O3,3)="All"</formula>
    </cfRule>
    <cfRule type="notContainsText" dxfId="12" priority="2" operator="notContains" text="All">
      <formula>ISERROR(SEARCH("All",O3))</formula>
    </cfRule>
  </conditionalFormatting>
  <dataValidations count="1">
    <dataValidation type="list" allowBlank="1" showInputMessage="1" showErrorMessage="1" promptTitle="Scenario" prompt="Choose Base, Upside or Downside" sqref="O2" xr:uid="{00000000-0002-0000-0100-000000000000}">
      <formula1>"Base,Upside,Downside"</formula1>
    </dataValidation>
  </dataValidations>
  <pageMargins left="0.7" right="0.7" top="0.75" bottom="0.75" header="0.3" footer="0.3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00FF"/>
    <pageSetUpPr fitToPage="1"/>
  </sheetPr>
  <dimension ref="A1:N47"/>
  <sheetViews>
    <sheetView showGridLines="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 x14ac:dyDescent="0.25"/>
  <cols>
    <col min="1" max="1" width="46.7109375" customWidth="1"/>
    <col min="2" max="2" width="20.7109375" customWidth="1"/>
    <col min="3" max="14" width="12.28515625" customWidth="1"/>
  </cols>
  <sheetData>
    <row r="1" spans="1:14" ht="23.25" x14ac:dyDescent="0.25">
      <c r="A1" s="1" t="s">
        <v>0</v>
      </c>
    </row>
    <row r="2" spans="1:14" x14ac:dyDescent="0.25">
      <c r="A2" s="2" t="s">
        <v>1</v>
      </c>
    </row>
    <row r="4" spans="1:14" x14ac:dyDescent="0.25">
      <c r="A4" s="7" t="s">
        <v>2</v>
      </c>
      <c r="B4" s="7" t="s">
        <v>3</v>
      </c>
      <c r="C4" s="8" t="s">
        <v>4</v>
      </c>
      <c r="D4" s="8" t="s">
        <v>5</v>
      </c>
      <c r="E4" s="8" t="s">
        <v>6</v>
      </c>
      <c r="F4" s="8" t="s">
        <v>7</v>
      </c>
      <c r="G4" s="42" t="s">
        <v>8</v>
      </c>
      <c r="H4" s="42"/>
      <c r="I4" s="42"/>
      <c r="J4" s="42"/>
      <c r="K4" s="42"/>
      <c r="L4" s="42"/>
      <c r="M4" s="42"/>
      <c r="N4" s="42"/>
    </row>
    <row r="5" spans="1:14" x14ac:dyDescent="0.25">
      <c r="A5" s="41" t="s">
        <v>9</v>
      </c>
      <c r="B5" s="41"/>
      <c r="C5" s="41"/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</row>
    <row r="6" spans="1:14" x14ac:dyDescent="0.25">
      <c r="A6" s="9" t="s">
        <v>10</v>
      </c>
      <c r="B6" s="13" t="s">
        <v>11</v>
      </c>
      <c r="C6" s="16">
        <v>420</v>
      </c>
      <c r="D6" s="12">
        <f>$C6</f>
        <v>420</v>
      </c>
      <c r="E6" s="12">
        <f>$C6</f>
        <v>420</v>
      </c>
      <c r="F6" s="17">
        <f t="shared" ref="F6:F13" si="0">CHOOSE(Scn_Idx,C6,D6,E6)</f>
        <v>420</v>
      </c>
      <c r="G6" s="44" t="s">
        <v>12</v>
      </c>
      <c r="H6" s="44"/>
      <c r="I6" s="44"/>
      <c r="J6" s="44"/>
      <c r="K6" s="44"/>
      <c r="L6" s="44"/>
      <c r="M6" s="44"/>
      <c r="N6" s="44"/>
    </row>
    <row r="7" spans="1:14" x14ac:dyDescent="0.25">
      <c r="A7" s="9" t="s">
        <v>13</v>
      </c>
      <c r="B7" s="13" t="s">
        <v>14</v>
      </c>
      <c r="C7" s="16">
        <v>28</v>
      </c>
      <c r="D7" s="16">
        <v>34</v>
      </c>
      <c r="E7" s="16">
        <v>21</v>
      </c>
      <c r="F7" s="17">
        <f t="shared" si="0"/>
        <v>28</v>
      </c>
      <c r="G7" s="44" t="s">
        <v>15</v>
      </c>
      <c r="H7" s="44"/>
      <c r="I7" s="44"/>
      <c r="J7" s="44"/>
      <c r="K7" s="44"/>
      <c r="L7" s="44"/>
      <c r="M7" s="44"/>
      <c r="N7" s="44"/>
    </row>
    <row r="8" spans="1:14" x14ac:dyDescent="0.25">
      <c r="A8" s="9" t="s">
        <v>16</v>
      </c>
      <c r="B8" s="13" t="s">
        <v>17</v>
      </c>
      <c r="C8" s="18">
        <v>0.02</v>
      </c>
      <c r="D8" s="18">
        <v>0.03</v>
      </c>
      <c r="E8" s="18">
        <v>5.0000000000000001E-3</v>
      </c>
      <c r="F8" s="19">
        <f t="shared" si="0"/>
        <v>0.02</v>
      </c>
      <c r="G8" s="44" t="s">
        <v>18</v>
      </c>
      <c r="H8" s="44"/>
      <c r="I8" s="44"/>
      <c r="J8" s="44"/>
      <c r="K8" s="44"/>
      <c r="L8" s="44"/>
      <c r="M8" s="44"/>
      <c r="N8" s="44"/>
    </row>
    <row r="9" spans="1:14" x14ac:dyDescent="0.25">
      <c r="A9" s="9" t="s">
        <v>19</v>
      </c>
      <c r="B9" s="13" t="s">
        <v>17</v>
      </c>
      <c r="C9" s="18">
        <v>1.7999999999999999E-2</v>
      </c>
      <c r="D9" s="18">
        <v>1.4E-2</v>
      </c>
      <c r="E9" s="18">
        <v>2.5999999999999999E-2</v>
      </c>
      <c r="F9" s="19">
        <f t="shared" si="0"/>
        <v>1.7999999999999999E-2</v>
      </c>
      <c r="G9" s="44" t="s">
        <v>20</v>
      </c>
      <c r="H9" s="44"/>
      <c r="I9" s="44"/>
      <c r="J9" s="44"/>
      <c r="K9" s="44"/>
      <c r="L9" s="44"/>
      <c r="M9" s="44"/>
      <c r="N9" s="44"/>
    </row>
    <row r="10" spans="1:14" x14ac:dyDescent="0.25">
      <c r="A10" s="9" t="s">
        <v>21</v>
      </c>
      <c r="B10" s="13" t="s">
        <v>22</v>
      </c>
      <c r="C10" s="20">
        <v>310</v>
      </c>
      <c r="D10" s="20">
        <v>322</v>
      </c>
      <c r="E10" s="20">
        <v>295</v>
      </c>
      <c r="F10" s="21">
        <f t="shared" si="0"/>
        <v>310</v>
      </c>
      <c r="G10" s="44" t="s">
        <v>23</v>
      </c>
      <c r="H10" s="44"/>
      <c r="I10" s="44"/>
      <c r="J10" s="44"/>
      <c r="K10" s="44"/>
      <c r="L10" s="44"/>
      <c r="M10" s="44"/>
      <c r="N10" s="44"/>
    </row>
    <row r="11" spans="1:14" x14ac:dyDescent="0.25">
      <c r="A11" s="9" t="s">
        <v>24</v>
      </c>
      <c r="B11" s="13" t="s">
        <v>25</v>
      </c>
      <c r="C11" s="18">
        <v>0.04</v>
      </c>
      <c r="D11" s="18">
        <v>0.05</v>
      </c>
      <c r="E11" s="18">
        <v>0.02</v>
      </c>
      <c r="F11" s="19">
        <f t="shared" si="0"/>
        <v>0.04</v>
      </c>
      <c r="G11" s="44" t="s">
        <v>26</v>
      </c>
      <c r="H11" s="44"/>
      <c r="I11" s="44"/>
      <c r="J11" s="44"/>
      <c r="K11" s="44"/>
      <c r="L11" s="44"/>
      <c r="M11" s="44"/>
      <c r="N11" s="44"/>
    </row>
    <row r="12" spans="1:14" x14ac:dyDescent="0.25">
      <c r="A12" s="9" t="s">
        <v>27</v>
      </c>
      <c r="B12" s="13" t="s">
        <v>28</v>
      </c>
      <c r="C12" s="16">
        <v>7</v>
      </c>
      <c r="D12" s="12">
        <f>$C12</f>
        <v>7</v>
      </c>
      <c r="E12" s="12">
        <f>$C12</f>
        <v>7</v>
      </c>
      <c r="F12" s="17">
        <f t="shared" si="0"/>
        <v>7</v>
      </c>
      <c r="G12" s="44" t="s">
        <v>29</v>
      </c>
      <c r="H12" s="44"/>
      <c r="I12" s="44"/>
      <c r="J12" s="44"/>
      <c r="K12" s="44"/>
      <c r="L12" s="44"/>
      <c r="M12" s="44"/>
      <c r="N12" s="44"/>
    </row>
    <row r="13" spans="1:14" x14ac:dyDescent="0.25">
      <c r="A13" s="9" t="s">
        <v>30</v>
      </c>
      <c r="B13" s="13" t="s">
        <v>31</v>
      </c>
      <c r="C13" s="20">
        <v>450</v>
      </c>
      <c r="D13" s="10">
        <f>$C13</f>
        <v>450</v>
      </c>
      <c r="E13" s="10">
        <f>$C13</f>
        <v>450</v>
      </c>
      <c r="F13" s="21">
        <f t="shared" si="0"/>
        <v>450</v>
      </c>
      <c r="G13" s="44" t="s">
        <v>32</v>
      </c>
      <c r="H13" s="44"/>
      <c r="I13" s="44"/>
      <c r="J13" s="44"/>
      <c r="K13" s="44"/>
      <c r="L13" s="44"/>
      <c r="M13" s="44"/>
      <c r="N13" s="44"/>
    </row>
    <row r="14" spans="1:14" x14ac:dyDescent="0.25">
      <c r="A14" s="41" t="s">
        <v>33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</row>
    <row r="15" spans="1:14" x14ac:dyDescent="0.25">
      <c r="A15" s="9" t="s">
        <v>34</v>
      </c>
      <c r="B15" s="13" t="s">
        <v>22</v>
      </c>
      <c r="C15" s="20">
        <v>14</v>
      </c>
      <c r="D15" s="20">
        <v>14</v>
      </c>
      <c r="E15" s="20">
        <v>15</v>
      </c>
      <c r="F15" s="21">
        <f>CHOOSE(Scn_Idx,C15,D15,E15)</f>
        <v>14</v>
      </c>
      <c r="G15" s="44" t="s">
        <v>35</v>
      </c>
      <c r="H15" s="44"/>
      <c r="I15" s="44"/>
      <c r="J15" s="44"/>
      <c r="K15" s="44"/>
      <c r="L15" s="44"/>
      <c r="M15" s="44"/>
      <c r="N15" s="44"/>
    </row>
    <row r="16" spans="1:14" x14ac:dyDescent="0.25">
      <c r="A16" s="9" t="s">
        <v>36</v>
      </c>
      <c r="B16" s="13" t="s">
        <v>22</v>
      </c>
      <c r="C16" s="20">
        <v>12</v>
      </c>
      <c r="D16" s="10">
        <f>$C16</f>
        <v>12</v>
      </c>
      <c r="E16" s="10">
        <f>$C16</f>
        <v>12</v>
      </c>
      <c r="F16" s="21">
        <f>CHOOSE(Scn_Idx,C16,D16,E16)</f>
        <v>12</v>
      </c>
      <c r="G16" s="44" t="s">
        <v>37</v>
      </c>
      <c r="H16" s="44"/>
      <c r="I16" s="44"/>
      <c r="J16" s="44"/>
      <c r="K16" s="44"/>
      <c r="L16" s="44"/>
      <c r="M16" s="44"/>
      <c r="N16" s="44"/>
    </row>
    <row r="17" spans="1:14" x14ac:dyDescent="0.25">
      <c r="A17" s="9" t="s">
        <v>38</v>
      </c>
      <c r="B17" s="13" t="s">
        <v>39</v>
      </c>
      <c r="C17" s="18">
        <v>1.4999999999999999E-2</v>
      </c>
      <c r="D17" s="11">
        <f>$C17</f>
        <v>1.4999999999999999E-2</v>
      </c>
      <c r="E17" s="11">
        <f>$C17</f>
        <v>1.4999999999999999E-2</v>
      </c>
      <c r="F17" s="19">
        <f>CHOOSE(Scn_Idx,C17,D17,E17)</f>
        <v>1.4999999999999999E-2</v>
      </c>
      <c r="G17" s="44" t="s">
        <v>40</v>
      </c>
      <c r="H17" s="44"/>
      <c r="I17" s="44"/>
      <c r="J17" s="44"/>
      <c r="K17" s="44"/>
      <c r="L17" s="44"/>
      <c r="M17" s="44"/>
      <c r="N17" s="44"/>
    </row>
    <row r="18" spans="1:14" x14ac:dyDescent="0.25">
      <c r="A18" s="41" t="s">
        <v>41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</row>
    <row r="19" spans="1:14" x14ac:dyDescent="0.25">
      <c r="A19" s="9" t="s">
        <v>42</v>
      </c>
      <c r="B19" s="13" t="s">
        <v>43</v>
      </c>
      <c r="C19" s="16">
        <v>24</v>
      </c>
      <c r="D19" s="12">
        <f t="shared" ref="D19:E21" si="1">$C19</f>
        <v>24</v>
      </c>
      <c r="E19" s="12">
        <f t="shared" si="1"/>
        <v>24</v>
      </c>
      <c r="F19" s="17">
        <f t="shared" ref="F19:F26" si="2">CHOOSE(Scn_Idx,C19,D19,E19)</f>
        <v>24</v>
      </c>
      <c r="G19" s="44" t="s">
        <v>44</v>
      </c>
      <c r="H19" s="44"/>
      <c r="I19" s="44"/>
      <c r="J19" s="44"/>
      <c r="K19" s="44"/>
      <c r="L19" s="44"/>
      <c r="M19" s="44"/>
      <c r="N19" s="44"/>
    </row>
    <row r="20" spans="1:14" x14ac:dyDescent="0.25">
      <c r="A20" s="9" t="s">
        <v>45</v>
      </c>
      <c r="B20" s="13" t="s">
        <v>46</v>
      </c>
      <c r="C20" s="20">
        <v>52000</v>
      </c>
      <c r="D20" s="10">
        <f t="shared" si="1"/>
        <v>52000</v>
      </c>
      <c r="E20" s="10">
        <f t="shared" si="1"/>
        <v>52000</v>
      </c>
      <c r="F20" s="21">
        <f t="shared" si="2"/>
        <v>52000</v>
      </c>
      <c r="G20" s="44" t="s">
        <v>47</v>
      </c>
      <c r="H20" s="44"/>
      <c r="I20" s="44"/>
      <c r="J20" s="44"/>
      <c r="K20" s="44"/>
      <c r="L20" s="44"/>
      <c r="M20" s="44"/>
      <c r="N20" s="44"/>
    </row>
    <row r="21" spans="1:14" x14ac:dyDescent="0.25">
      <c r="A21" s="9" t="s">
        <v>48</v>
      </c>
      <c r="B21" s="13" t="s">
        <v>49</v>
      </c>
      <c r="C21" s="18">
        <v>0.18</v>
      </c>
      <c r="D21" s="11">
        <f t="shared" si="1"/>
        <v>0.18</v>
      </c>
      <c r="E21" s="11">
        <f t="shared" si="1"/>
        <v>0.18</v>
      </c>
      <c r="F21" s="19">
        <f t="shared" si="2"/>
        <v>0.18</v>
      </c>
      <c r="G21" s="44" t="s">
        <v>50</v>
      </c>
      <c r="H21" s="44"/>
      <c r="I21" s="44"/>
      <c r="J21" s="44"/>
      <c r="K21" s="44"/>
      <c r="L21" s="44"/>
      <c r="M21" s="44"/>
      <c r="N21" s="44"/>
    </row>
    <row r="22" spans="1:14" x14ac:dyDescent="0.25">
      <c r="A22" s="9" t="s">
        <v>51</v>
      </c>
      <c r="B22" s="13" t="s">
        <v>31</v>
      </c>
      <c r="C22" s="20">
        <v>620</v>
      </c>
      <c r="D22" s="20">
        <v>580</v>
      </c>
      <c r="E22" s="20">
        <v>700</v>
      </c>
      <c r="F22" s="21">
        <f t="shared" si="2"/>
        <v>620</v>
      </c>
      <c r="G22" s="44" t="s">
        <v>52</v>
      </c>
      <c r="H22" s="44"/>
      <c r="I22" s="44"/>
      <c r="J22" s="44"/>
      <c r="K22" s="44"/>
      <c r="L22" s="44"/>
      <c r="M22" s="44"/>
      <c r="N22" s="44"/>
    </row>
    <row r="23" spans="1:14" x14ac:dyDescent="0.25">
      <c r="A23" s="9" t="s">
        <v>53</v>
      </c>
      <c r="B23" s="13" t="s">
        <v>54</v>
      </c>
      <c r="C23" s="20">
        <v>180</v>
      </c>
      <c r="D23" s="10">
        <f t="shared" ref="D23:E26" si="3">$C23</f>
        <v>180</v>
      </c>
      <c r="E23" s="10">
        <f t="shared" si="3"/>
        <v>180</v>
      </c>
      <c r="F23" s="21">
        <f t="shared" si="2"/>
        <v>180</v>
      </c>
      <c r="G23" s="44" t="s">
        <v>55</v>
      </c>
      <c r="H23" s="44"/>
      <c r="I23" s="44"/>
      <c r="J23" s="44"/>
      <c r="K23" s="44"/>
      <c r="L23" s="44"/>
      <c r="M23" s="44"/>
      <c r="N23" s="44"/>
    </row>
    <row r="24" spans="1:14" x14ac:dyDescent="0.25">
      <c r="A24" s="9" t="s">
        <v>56</v>
      </c>
      <c r="B24" s="13" t="s">
        <v>22</v>
      </c>
      <c r="C24" s="20">
        <v>9500</v>
      </c>
      <c r="D24" s="10">
        <f t="shared" si="3"/>
        <v>9500</v>
      </c>
      <c r="E24" s="10">
        <f t="shared" si="3"/>
        <v>9500</v>
      </c>
      <c r="F24" s="21">
        <f t="shared" si="2"/>
        <v>9500</v>
      </c>
      <c r="G24" s="44" t="s">
        <v>57</v>
      </c>
      <c r="H24" s="44"/>
      <c r="I24" s="44"/>
      <c r="J24" s="44"/>
      <c r="K24" s="44"/>
      <c r="L24" s="44"/>
      <c r="M24" s="44"/>
      <c r="N24" s="44"/>
    </row>
    <row r="25" spans="1:14" x14ac:dyDescent="0.25">
      <c r="A25" s="9" t="s">
        <v>58</v>
      </c>
      <c r="B25" s="13" t="s">
        <v>22</v>
      </c>
      <c r="C25" s="20">
        <v>4200</v>
      </c>
      <c r="D25" s="10">
        <f t="shared" si="3"/>
        <v>4200</v>
      </c>
      <c r="E25" s="10">
        <f t="shared" si="3"/>
        <v>4200</v>
      </c>
      <c r="F25" s="21">
        <f t="shared" si="2"/>
        <v>4200</v>
      </c>
      <c r="G25" s="44" t="s">
        <v>59</v>
      </c>
      <c r="H25" s="44"/>
      <c r="I25" s="44"/>
      <c r="J25" s="44"/>
      <c r="K25" s="44"/>
      <c r="L25" s="44"/>
      <c r="M25" s="44"/>
      <c r="N25" s="44"/>
    </row>
    <row r="26" spans="1:14" x14ac:dyDescent="0.25">
      <c r="A26" s="9" t="s">
        <v>60</v>
      </c>
      <c r="B26" s="13" t="s">
        <v>22</v>
      </c>
      <c r="C26" s="20">
        <v>6000</v>
      </c>
      <c r="D26" s="10">
        <f t="shared" si="3"/>
        <v>6000</v>
      </c>
      <c r="E26" s="10">
        <f t="shared" si="3"/>
        <v>6000</v>
      </c>
      <c r="F26" s="21">
        <f t="shared" si="2"/>
        <v>6000</v>
      </c>
      <c r="G26" s="44" t="s">
        <v>61</v>
      </c>
      <c r="H26" s="44"/>
      <c r="I26" s="44"/>
      <c r="J26" s="44"/>
      <c r="K26" s="44"/>
      <c r="L26" s="44"/>
      <c r="M26" s="44"/>
      <c r="N26" s="44"/>
    </row>
    <row r="27" spans="1:14" x14ac:dyDescent="0.25">
      <c r="A27" s="41" t="s">
        <v>62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</row>
    <row r="28" spans="1:14" x14ac:dyDescent="0.25">
      <c r="A28" s="9" t="s">
        <v>63</v>
      </c>
      <c r="B28" s="13" t="s">
        <v>22</v>
      </c>
      <c r="C28" s="20">
        <v>8000</v>
      </c>
      <c r="D28" s="10">
        <f t="shared" ref="D28:E35" si="4">$C28</f>
        <v>8000</v>
      </c>
      <c r="E28" s="10">
        <f t="shared" si="4"/>
        <v>8000</v>
      </c>
      <c r="F28" s="21">
        <f t="shared" ref="F28:F35" si="5">CHOOSE(Scn_Idx,C28,D28,E28)</f>
        <v>8000</v>
      </c>
      <c r="G28" s="44" t="s">
        <v>64</v>
      </c>
      <c r="H28" s="44"/>
      <c r="I28" s="44"/>
      <c r="J28" s="44"/>
      <c r="K28" s="44"/>
      <c r="L28" s="44"/>
      <c r="M28" s="44"/>
      <c r="N28" s="44"/>
    </row>
    <row r="29" spans="1:14" x14ac:dyDescent="0.25">
      <c r="A29" s="9" t="s">
        <v>65</v>
      </c>
      <c r="B29" s="13" t="s">
        <v>66</v>
      </c>
      <c r="C29" s="16">
        <v>36</v>
      </c>
      <c r="D29" s="12">
        <f t="shared" si="4"/>
        <v>36</v>
      </c>
      <c r="E29" s="12">
        <f t="shared" si="4"/>
        <v>36</v>
      </c>
      <c r="F29" s="17">
        <f t="shared" si="5"/>
        <v>36</v>
      </c>
      <c r="G29" s="44" t="s">
        <v>67</v>
      </c>
      <c r="H29" s="44"/>
      <c r="I29" s="44"/>
      <c r="J29" s="44"/>
      <c r="K29" s="44"/>
      <c r="L29" s="44"/>
      <c r="M29" s="44"/>
      <c r="N29" s="44"/>
    </row>
    <row r="30" spans="1:14" x14ac:dyDescent="0.25">
      <c r="A30" s="9" t="s">
        <v>68</v>
      </c>
      <c r="B30" s="13" t="s">
        <v>22</v>
      </c>
      <c r="C30" s="20">
        <v>4500</v>
      </c>
      <c r="D30" s="10">
        <f t="shared" si="4"/>
        <v>4500</v>
      </c>
      <c r="E30" s="10">
        <f t="shared" si="4"/>
        <v>4500</v>
      </c>
      <c r="F30" s="21">
        <f t="shared" si="5"/>
        <v>4500</v>
      </c>
      <c r="G30" s="44" t="s">
        <v>69</v>
      </c>
      <c r="H30" s="44"/>
      <c r="I30" s="44"/>
      <c r="J30" s="44"/>
      <c r="K30" s="44"/>
      <c r="L30" s="44"/>
      <c r="M30" s="44"/>
      <c r="N30" s="44"/>
    </row>
    <row r="31" spans="1:14" x14ac:dyDescent="0.25">
      <c r="A31" s="9" t="s">
        <v>70</v>
      </c>
      <c r="B31" s="13" t="s">
        <v>25</v>
      </c>
      <c r="C31" s="18">
        <v>0.25</v>
      </c>
      <c r="D31" s="11">
        <f t="shared" si="4"/>
        <v>0.25</v>
      </c>
      <c r="E31" s="11">
        <f t="shared" si="4"/>
        <v>0.25</v>
      </c>
      <c r="F31" s="19">
        <f t="shared" si="5"/>
        <v>0.25</v>
      </c>
      <c r="G31" s="44" t="s">
        <v>71</v>
      </c>
      <c r="H31" s="44"/>
      <c r="I31" s="44"/>
      <c r="J31" s="44"/>
      <c r="K31" s="44"/>
      <c r="L31" s="44"/>
      <c r="M31" s="44"/>
      <c r="N31" s="44"/>
    </row>
    <row r="32" spans="1:14" x14ac:dyDescent="0.25">
      <c r="A32" s="9" t="s">
        <v>72</v>
      </c>
      <c r="B32" s="13" t="s">
        <v>25</v>
      </c>
      <c r="C32" s="18">
        <v>0.8</v>
      </c>
      <c r="D32" s="11">
        <f t="shared" si="4"/>
        <v>0.8</v>
      </c>
      <c r="E32" s="11">
        <f t="shared" si="4"/>
        <v>0.8</v>
      </c>
      <c r="F32" s="19">
        <f t="shared" si="5"/>
        <v>0.8</v>
      </c>
      <c r="G32" s="44" t="s">
        <v>73</v>
      </c>
      <c r="H32" s="44"/>
      <c r="I32" s="44"/>
      <c r="J32" s="44"/>
      <c r="K32" s="44"/>
      <c r="L32" s="44"/>
      <c r="M32" s="44"/>
      <c r="N32" s="44"/>
    </row>
    <row r="33" spans="1:14" x14ac:dyDescent="0.25">
      <c r="A33" s="9" t="s">
        <v>74</v>
      </c>
      <c r="B33" s="13" t="s">
        <v>31</v>
      </c>
      <c r="C33" s="20">
        <v>620000</v>
      </c>
      <c r="D33" s="10">
        <f t="shared" si="4"/>
        <v>620000</v>
      </c>
      <c r="E33" s="10">
        <f t="shared" si="4"/>
        <v>620000</v>
      </c>
      <c r="F33" s="21">
        <f t="shared" si="5"/>
        <v>620000</v>
      </c>
      <c r="G33" s="44" t="s">
        <v>75</v>
      </c>
      <c r="H33" s="44"/>
      <c r="I33" s="44"/>
      <c r="J33" s="44"/>
      <c r="K33" s="44"/>
      <c r="L33" s="44"/>
      <c r="M33" s="44"/>
      <c r="N33" s="44"/>
    </row>
    <row r="34" spans="1:14" x14ac:dyDescent="0.25">
      <c r="A34" s="9" t="s">
        <v>76</v>
      </c>
      <c r="B34" s="13" t="s">
        <v>31</v>
      </c>
      <c r="C34" s="20">
        <v>24000</v>
      </c>
      <c r="D34" s="10">
        <f t="shared" si="4"/>
        <v>24000</v>
      </c>
      <c r="E34" s="10">
        <f t="shared" si="4"/>
        <v>24000</v>
      </c>
      <c r="F34" s="21">
        <f t="shared" si="5"/>
        <v>24000</v>
      </c>
      <c r="G34" s="44" t="s">
        <v>77</v>
      </c>
      <c r="H34" s="44"/>
      <c r="I34" s="44"/>
      <c r="J34" s="44"/>
      <c r="K34" s="44"/>
      <c r="L34" s="44"/>
      <c r="M34" s="44"/>
      <c r="N34" s="44"/>
    </row>
    <row r="35" spans="1:14" x14ac:dyDescent="0.25">
      <c r="A35" s="9" t="s">
        <v>78</v>
      </c>
      <c r="B35" s="13" t="s">
        <v>31</v>
      </c>
      <c r="C35" s="20">
        <v>9000</v>
      </c>
      <c r="D35" s="10">
        <f t="shared" si="4"/>
        <v>9000</v>
      </c>
      <c r="E35" s="10">
        <f t="shared" si="4"/>
        <v>9000</v>
      </c>
      <c r="F35" s="21">
        <f t="shared" si="5"/>
        <v>9000</v>
      </c>
      <c r="G35" s="44" t="s">
        <v>79</v>
      </c>
      <c r="H35" s="44"/>
      <c r="I35" s="44"/>
      <c r="J35" s="44"/>
      <c r="K35" s="44"/>
      <c r="L35" s="44"/>
      <c r="M35" s="44"/>
      <c r="N35" s="44"/>
    </row>
    <row r="37" spans="1:14" x14ac:dyDescent="0.25">
      <c r="A37" s="41" t="s">
        <v>80</v>
      </c>
      <c r="B37" s="41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</row>
    <row r="38" spans="1:14" x14ac:dyDescent="0.25">
      <c r="A38" s="7" t="s">
        <v>81</v>
      </c>
      <c r="B38" s="7"/>
      <c r="C38" s="8" t="s">
        <v>82</v>
      </c>
      <c r="D38" s="8" t="s">
        <v>83</v>
      </c>
      <c r="E38" s="8" t="s">
        <v>84</v>
      </c>
      <c r="F38" s="8" t="s">
        <v>85</v>
      </c>
      <c r="G38" s="8" t="s">
        <v>86</v>
      </c>
      <c r="H38" s="8" t="s">
        <v>87</v>
      </c>
      <c r="I38" s="8" t="s">
        <v>88</v>
      </c>
      <c r="J38" s="8" t="s">
        <v>89</v>
      </c>
      <c r="K38" s="8" t="s">
        <v>90</v>
      </c>
      <c r="L38" s="8" t="s">
        <v>91</v>
      </c>
      <c r="M38" s="8" t="s">
        <v>92</v>
      </c>
      <c r="N38" s="8" t="s">
        <v>93</v>
      </c>
    </row>
    <row r="39" spans="1:14" x14ac:dyDescent="0.25">
      <c r="A39" s="9" t="s">
        <v>94</v>
      </c>
      <c r="B39" s="13" t="s">
        <v>43</v>
      </c>
      <c r="C39" s="16">
        <v>0</v>
      </c>
      <c r="D39" s="16">
        <v>0</v>
      </c>
      <c r="E39" s="16">
        <v>1</v>
      </c>
      <c r="F39" s="16">
        <v>0</v>
      </c>
      <c r="G39" s="16">
        <v>0</v>
      </c>
      <c r="H39" s="16">
        <v>1</v>
      </c>
      <c r="I39" s="16">
        <v>0</v>
      </c>
      <c r="J39" s="16">
        <v>0</v>
      </c>
      <c r="K39" s="16">
        <v>1</v>
      </c>
      <c r="L39" s="16">
        <v>0</v>
      </c>
      <c r="M39" s="16">
        <v>1</v>
      </c>
      <c r="N39" s="16">
        <v>0</v>
      </c>
    </row>
    <row r="40" spans="1:14" x14ac:dyDescent="0.25">
      <c r="A40" s="9" t="s">
        <v>95</v>
      </c>
      <c r="B40" s="13" t="s">
        <v>43</v>
      </c>
      <c r="C40" s="16">
        <v>0</v>
      </c>
      <c r="D40" s="16">
        <v>1</v>
      </c>
      <c r="E40" s="16">
        <v>1</v>
      </c>
      <c r="F40" s="16">
        <v>0</v>
      </c>
      <c r="G40" s="16">
        <v>1</v>
      </c>
      <c r="H40" s="16">
        <v>1</v>
      </c>
      <c r="I40" s="16">
        <v>0</v>
      </c>
      <c r="J40" s="16">
        <v>1</v>
      </c>
      <c r="K40" s="16">
        <v>1</v>
      </c>
      <c r="L40" s="16">
        <v>0</v>
      </c>
      <c r="M40" s="16">
        <v>1</v>
      </c>
      <c r="N40" s="16">
        <v>0</v>
      </c>
    </row>
    <row r="41" spans="1:14" x14ac:dyDescent="0.25">
      <c r="A41" s="9" t="s">
        <v>96</v>
      </c>
      <c r="B41" s="13" t="s">
        <v>43</v>
      </c>
      <c r="C41" s="16">
        <v>0</v>
      </c>
      <c r="D41" s="16">
        <v>0</v>
      </c>
      <c r="E41" s="16">
        <v>1</v>
      </c>
      <c r="F41" s="16">
        <v>0</v>
      </c>
      <c r="G41" s="16">
        <v>0</v>
      </c>
      <c r="H41" s="16">
        <v>1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</row>
    <row r="43" spans="1:14" x14ac:dyDescent="0.25">
      <c r="A43" s="41" t="s">
        <v>97</v>
      </c>
      <c r="B43" s="41"/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</row>
    <row r="44" spans="1:14" x14ac:dyDescent="0.25">
      <c r="A44" s="9" t="s">
        <v>98</v>
      </c>
      <c r="B44" s="13" t="s">
        <v>25</v>
      </c>
      <c r="C44" s="18">
        <v>0.02</v>
      </c>
      <c r="G44" s="44" t="s">
        <v>99</v>
      </c>
      <c r="H44" s="44"/>
      <c r="I44" s="44"/>
      <c r="J44" s="44"/>
      <c r="K44" s="44"/>
      <c r="L44" s="44"/>
      <c r="M44" s="44"/>
      <c r="N44" s="44"/>
    </row>
    <row r="45" spans="1:14" x14ac:dyDescent="0.25">
      <c r="A45" s="9" t="s">
        <v>100</v>
      </c>
      <c r="B45" s="13" t="s">
        <v>25</v>
      </c>
      <c r="C45" s="18">
        <v>0.05</v>
      </c>
      <c r="G45" s="44" t="s">
        <v>101</v>
      </c>
      <c r="H45" s="44"/>
      <c r="I45" s="44"/>
      <c r="J45" s="44"/>
      <c r="K45" s="44"/>
      <c r="L45" s="44"/>
      <c r="M45" s="44"/>
      <c r="N45" s="44"/>
    </row>
    <row r="47" spans="1:14" x14ac:dyDescent="0.25">
      <c r="A47" s="13" t="s">
        <v>102</v>
      </c>
      <c r="C47" s="12">
        <f>MATCH(Scenario,{"Base","Upside","Downside"},0)</f>
        <v>1</v>
      </c>
    </row>
  </sheetData>
  <mergeCells count="36">
    <mergeCell ref="G45:N45"/>
    <mergeCell ref="G34:N34"/>
    <mergeCell ref="G35:N35"/>
    <mergeCell ref="A37:N37"/>
    <mergeCell ref="A43:N43"/>
    <mergeCell ref="G44:N44"/>
    <mergeCell ref="G29:N29"/>
    <mergeCell ref="G30:N30"/>
    <mergeCell ref="G31:N31"/>
    <mergeCell ref="G32:N32"/>
    <mergeCell ref="G33:N33"/>
    <mergeCell ref="G24:N24"/>
    <mergeCell ref="G25:N25"/>
    <mergeCell ref="G26:N26"/>
    <mergeCell ref="A27:N27"/>
    <mergeCell ref="G28:N28"/>
    <mergeCell ref="G19:N19"/>
    <mergeCell ref="G20:N20"/>
    <mergeCell ref="G21:N21"/>
    <mergeCell ref="G22:N22"/>
    <mergeCell ref="G23:N23"/>
    <mergeCell ref="A14:N14"/>
    <mergeCell ref="G15:N15"/>
    <mergeCell ref="G16:N16"/>
    <mergeCell ref="G17:N17"/>
    <mergeCell ref="A18:N18"/>
    <mergeCell ref="G9:N9"/>
    <mergeCell ref="G10:N10"/>
    <mergeCell ref="G11:N11"/>
    <mergeCell ref="G12:N12"/>
    <mergeCell ref="G13:N13"/>
    <mergeCell ref="G4:N4"/>
    <mergeCell ref="A5:N5"/>
    <mergeCell ref="G6:N6"/>
    <mergeCell ref="G7:N7"/>
    <mergeCell ref="G8:N8"/>
  </mergeCells>
  <pageMargins left="0.7" right="0.7" top="0.75" bottom="0.75" header="0.3" footer="0.3"/>
  <pageSetup paperSize="9"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4C9F70"/>
    <pageSetUpPr fitToPage="1"/>
  </sheetPr>
  <dimension ref="A1:K28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5" x14ac:dyDescent="0.25"/>
  <cols>
    <col min="1" max="1" width="44.7109375" customWidth="1"/>
    <col min="2" max="12" width="14.28515625" customWidth="1"/>
  </cols>
  <sheetData>
    <row r="1" spans="1:11" ht="23.25" x14ac:dyDescent="0.25">
      <c r="A1" s="1" t="s">
        <v>174</v>
      </c>
    </row>
    <row r="2" spans="1:11" x14ac:dyDescent="0.25">
      <c r="A2" s="2" t="s">
        <v>175</v>
      </c>
    </row>
    <row r="3" spans="1:11" x14ac:dyDescent="0.25">
      <c r="A3" s="3" t="s">
        <v>176</v>
      </c>
      <c r="C3" s="3" t="str">
        <f>Scenario</f>
        <v>Base</v>
      </c>
    </row>
    <row r="5" spans="1:11" ht="30" customHeight="1" x14ac:dyDescent="0.25">
      <c r="A5" s="7" t="s">
        <v>177</v>
      </c>
      <c r="B5" s="8" t="s">
        <v>178</v>
      </c>
      <c r="C5" s="8" t="s">
        <v>179</v>
      </c>
      <c r="D5" s="8" t="s">
        <v>180</v>
      </c>
      <c r="E5" s="8" t="s">
        <v>181</v>
      </c>
      <c r="F5" s="8" t="s">
        <v>182</v>
      </c>
      <c r="G5" s="8" t="s">
        <v>183</v>
      </c>
      <c r="H5" s="8" t="s">
        <v>184</v>
      </c>
      <c r="I5" s="8" t="s">
        <v>185</v>
      </c>
      <c r="J5" s="8" t="s">
        <v>186</v>
      </c>
      <c r="K5" s="8" t="s">
        <v>187</v>
      </c>
    </row>
    <row r="6" spans="1:11" x14ac:dyDescent="0.25">
      <c r="A6" s="9" t="s">
        <v>118</v>
      </c>
      <c r="B6" s="10">
        <f>SUM(Budget_Locked!C14:H14)</f>
        <v>896830</v>
      </c>
      <c r="C6" s="10">
        <f>Actuals!I10</f>
        <v>880629</v>
      </c>
      <c r="D6" s="10">
        <f>C6-B6</f>
        <v>-16201</v>
      </c>
      <c r="E6" s="11">
        <f t="shared" ref="E6:E21" si="0">IFERROR(D6/ABS(B6),0)</f>
        <v>-1.8064739136737173E-2</v>
      </c>
      <c r="F6" s="3" t="str">
        <f>IF(E6&gt;=0,"Favourable",IF(E6&gt;=-Assumptions!$C$44,"On track",IF(E6&gt;=-Assumptions!$C$45,"Watch","Off track")))</f>
        <v>On track</v>
      </c>
      <c r="G6" s="10">
        <f>Budget_Locked!O14</f>
        <v>2081327.5999999999</v>
      </c>
      <c r="H6" s="10">
        <f>CHOOSE(Scn_Idx,SUM(Model_Base!I14:N14),SUM(Model_Upside!I14:N14),SUM(Model_Downside!I14:N14))</f>
        <v>1184497.6000000001</v>
      </c>
      <c r="I6" s="10">
        <f t="shared" ref="I6:I21" si="1">C6+H6</f>
        <v>2065126.6</v>
      </c>
      <c r="J6" s="10">
        <f>I6-G6</f>
        <v>-16200.999999999767</v>
      </c>
      <c r="K6" s="11">
        <f t="shared" ref="K6:K21" si="2">IFERROR(J6/ABS(G6),0)</f>
        <v>-7.7839740365715461E-3</v>
      </c>
    </row>
    <row r="7" spans="1:11" x14ac:dyDescent="0.25">
      <c r="A7" s="9" t="s">
        <v>120</v>
      </c>
      <c r="B7" s="10">
        <f>SUM(Budget_Locked!C15:H15)</f>
        <v>79650</v>
      </c>
      <c r="C7" s="10">
        <f>Actuals!I11</f>
        <v>70081</v>
      </c>
      <c r="D7" s="10">
        <f>C7-B7</f>
        <v>-9569</v>
      </c>
      <c r="E7" s="11">
        <f t="shared" si="0"/>
        <v>-0.12013810420590082</v>
      </c>
      <c r="F7" s="3" t="str">
        <f>IF(E7&gt;=0,"Favourable",IF(E7&gt;=-Assumptions!$C$44,"On track",IF(E7&gt;=-Assumptions!$C$45,"Watch","Off track")))</f>
        <v>Off track</v>
      </c>
      <c r="G7" s="10">
        <f>Budget_Locked!O15</f>
        <v>169200</v>
      </c>
      <c r="H7" s="10">
        <f>CHOOSE(Scn_Idx,SUM(Model_Base!I15:N15),SUM(Model_Upside!I15:N15),SUM(Model_Downside!I15:N15))</f>
        <v>89550</v>
      </c>
      <c r="I7" s="10">
        <f t="shared" si="1"/>
        <v>159631</v>
      </c>
      <c r="J7" s="10">
        <f>I7-G7</f>
        <v>-9569</v>
      </c>
      <c r="K7" s="11">
        <f t="shared" si="2"/>
        <v>-5.655437352245863E-2</v>
      </c>
    </row>
    <row r="8" spans="1:11" x14ac:dyDescent="0.25">
      <c r="A8" s="3" t="s">
        <v>121</v>
      </c>
      <c r="B8" s="21">
        <f>SUM(Budget_Locked!C16:H16)</f>
        <v>976480</v>
      </c>
      <c r="C8" s="21">
        <f>Actuals!I12</f>
        <v>950710</v>
      </c>
      <c r="D8" s="21">
        <f>C8-B8</f>
        <v>-25770</v>
      </c>
      <c r="E8" s="19">
        <f t="shared" si="0"/>
        <v>-2.6390709487137474E-2</v>
      </c>
      <c r="F8" s="3" t="str">
        <f>IF(E8&gt;=0,"Favourable",IF(E8&gt;=-Assumptions!$C$44,"On track",IF(E8&gt;=-Assumptions!$C$45,"Watch","Off track")))</f>
        <v>Watch</v>
      </c>
      <c r="G8" s="21">
        <f>Budget_Locked!O16</f>
        <v>2250527.6</v>
      </c>
      <c r="H8" s="21">
        <f>CHOOSE(Scn_Idx,SUM(Model_Base!I16:N16),SUM(Model_Upside!I16:N16),SUM(Model_Downside!I16:N16))</f>
        <v>1274047.6000000001</v>
      </c>
      <c r="I8" s="21">
        <f t="shared" si="1"/>
        <v>2224757.6</v>
      </c>
      <c r="J8" s="21">
        <f>I8-G8</f>
        <v>-25770</v>
      </c>
      <c r="K8" s="19">
        <f t="shared" si="2"/>
        <v>-1.1450648283540268E-2</v>
      </c>
    </row>
    <row r="9" spans="1:11" x14ac:dyDescent="0.25">
      <c r="A9" s="9" t="s">
        <v>122</v>
      </c>
      <c r="B9" s="10">
        <f>SUM(Budget_Locked!C17:H17)</f>
        <v>40502</v>
      </c>
      <c r="C9" s="10">
        <f>Actuals!I14</f>
        <v>42892</v>
      </c>
      <c r="D9" s="10">
        <f>B9-C9</f>
        <v>-2390</v>
      </c>
      <c r="E9" s="11">
        <f t="shared" si="0"/>
        <v>-5.9009431633005781E-2</v>
      </c>
      <c r="F9" s="3" t="str">
        <f>IF(E9&gt;=0,"Favourable",IF(E9&gt;=-Assumptions!$C$44,"On track",IF(E9&gt;=-Assumptions!$C$45,"Watch","Off track")))</f>
        <v>Off track</v>
      </c>
      <c r="G9" s="10">
        <f>Budget_Locked!O17</f>
        <v>91938</v>
      </c>
      <c r="H9" s="10">
        <f>CHOOSE(Scn_Idx,SUM(Model_Base!I17:N17),SUM(Model_Upside!I17:N17),SUM(Model_Downside!I17:N17))</f>
        <v>51436</v>
      </c>
      <c r="I9" s="10">
        <f t="shared" si="1"/>
        <v>94328</v>
      </c>
      <c r="J9" s="10">
        <f>G9-I9</f>
        <v>-2390</v>
      </c>
      <c r="K9" s="11">
        <f t="shared" si="2"/>
        <v>-2.5995779764623986E-2</v>
      </c>
    </row>
    <row r="10" spans="1:11" x14ac:dyDescent="0.25">
      <c r="A10" s="9" t="s">
        <v>123</v>
      </c>
      <c r="B10" s="10">
        <f>SUM(Budget_Locked!C18:H18)</f>
        <v>34716</v>
      </c>
      <c r="C10" s="10">
        <f>Actuals!I15</f>
        <v>33684</v>
      </c>
      <c r="D10" s="10">
        <f>B10-C10</f>
        <v>1032</v>
      </c>
      <c r="E10" s="11">
        <f t="shared" si="0"/>
        <v>2.9726927065330106E-2</v>
      </c>
      <c r="F10" s="3" t="str">
        <f>IF(E10&gt;=0,"Favourable",IF(E10&gt;=-Assumptions!$C$44,"On track",IF(E10&gt;=-Assumptions!$C$45,"Watch","Off track")))</f>
        <v>Favourable</v>
      </c>
      <c r="G10" s="10">
        <f>Budget_Locked!O18</f>
        <v>78804</v>
      </c>
      <c r="H10" s="10">
        <f>CHOOSE(Scn_Idx,SUM(Model_Base!I18:N18),SUM(Model_Upside!I18:N18),SUM(Model_Downside!I18:N18))</f>
        <v>44088</v>
      </c>
      <c r="I10" s="10">
        <f t="shared" si="1"/>
        <v>77772</v>
      </c>
      <c r="J10" s="10">
        <f>G10-I10</f>
        <v>1032</v>
      </c>
      <c r="K10" s="11">
        <f t="shared" si="2"/>
        <v>1.3095781940003045E-2</v>
      </c>
    </row>
    <row r="11" spans="1:11" x14ac:dyDescent="0.25">
      <c r="A11" s="9" t="s">
        <v>124</v>
      </c>
      <c r="B11" s="10">
        <f>SUM(Budget_Locked!C19:H19)</f>
        <v>14647.199999999999</v>
      </c>
      <c r="C11" s="10">
        <f>Actuals!I16</f>
        <v>14227</v>
      </c>
      <c r="D11" s="10">
        <f>B11-C11</f>
        <v>420.19999999999891</v>
      </c>
      <c r="E11" s="11">
        <f t="shared" si="0"/>
        <v>2.8688076902069946E-2</v>
      </c>
      <c r="F11" s="3" t="str">
        <f>IF(E11&gt;=0,"Favourable",IF(E11&gt;=-Assumptions!$C$44,"On track",IF(E11&gt;=-Assumptions!$C$45,"Watch","Off track")))</f>
        <v>Favourable</v>
      </c>
      <c r="G11" s="10">
        <f>Budget_Locked!O19</f>
        <v>33757.914000000004</v>
      </c>
      <c r="H11" s="10">
        <f>CHOOSE(Scn_Idx,SUM(Model_Base!I19:N19),SUM(Model_Upside!I19:N19),SUM(Model_Downside!I19:N19))</f>
        <v>19110.714</v>
      </c>
      <c r="I11" s="10">
        <f t="shared" si="1"/>
        <v>33337.714</v>
      </c>
      <c r="J11" s="10">
        <f>G11-I11</f>
        <v>420.20000000000437</v>
      </c>
      <c r="K11" s="11">
        <f t="shared" si="2"/>
        <v>1.2447451581279705E-2</v>
      </c>
    </row>
    <row r="12" spans="1:11" x14ac:dyDescent="0.25">
      <c r="A12" s="3" t="s">
        <v>125</v>
      </c>
      <c r="B12" s="21">
        <f>SUM(Budget_Locked!C20:H20)</f>
        <v>89865.2</v>
      </c>
      <c r="C12" s="21">
        <f>Actuals!I17</f>
        <v>90803</v>
      </c>
      <c r="D12" s="21">
        <f>B12-C12</f>
        <v>-937.80000000000291</v>
      </c>
      <c r="E12" s="19">
        <f t="shared" si="0"/>
        <v>-1.0435630255093217E-2</v>
      </c>
      <c r="F12" s="3" t="str">
        <f>IF(E12&gt;=0,"Favourable",IF(E12&gt;=-Assumptions!$C$44,"On track",IF(E12&gt;=-Assumptions!$C$45,"Watch","Off track")))</f>
        <v>On track</v>
      </c>
      <c r="G12" s="21">
        <f>Budget_Locked!O20</f>
        <v>204499.91400000002</v>
      </c>
      <c r="H12" s="21">
        <f>CHOOSE(Scn_Idx,SUM(Model_Base!I20:N20),SUM(Model_Upside!I20:N20),SUM(Model_Downside!I20:N20))</f>
        <v>114634.71400000001</v>
      </c>
      <c r="I12" s="21">
        <f t="shared" si="1"/>
        <v>205437.71400000001</v>
      </c>
      <c r="J12" s="21">
        <f>G12-I12</f>
        <v>-937.79999999998836</v>
      </c>
      <c r="K12" s="19">
        <f t="shared" si="2"/>
        <v>-4.5858209994161089E-3</v>
      </c>
    </row>
    <row r="13" spans="1:11" x14ac:dyDescent="0.25">
      <c r="A13" s="3" t="s">
        <v>126</v>
      </c>
      <c r="B13" s="21">
        <f>SUM(Budget_Locked!C21:H21)</f>
        <v>886614.79999999993</v>
      </c>
      <c r="C13" s="21">
        <f>Actuals!I18</f>
        <v>859907</v>
      </c>
      <c r="D13" s="21">
        <f>C13-B13</f>
        <v>-26707.79999999993</v>
      </c>
      <c r="E13" s="19">
        <f t="shared" si="0"/>
        <v>-3.0123341049574103E-2</v>
      </c>
      <c r="F13" s="3" t="str">
        <f>IF(E13&gt;=0,"Favourable",IF(E13&gt;=-Assumptions!$C$44,"On track",IF(E13&gt;=-Assumptions!$C$45,"Watch","Off track")))</f>
        <v>Watch</v>
      </c>
      <c r="G13" s="21">
        <f>Budget_Locked!O21</f>
        <v>2046027.6859999998</v>
      </c>
      <c r="H13" s="21">
        <f>CHOOSE(Scn_Idx,SUM(Model_Base!I21:N21),SUM(Model_Upside!I21:N21),SUM(Model_Downside!I21:N21))</f>
        <v>1159412.8860000002</v>
      </c>
      <c r="I13" s="21">
        <f t="shared" si="1"/>
        <v>2019319.8860000002</v>
      </c>
      <c r="J13" s="21">
        <f>I13-G13</f>
        <v>-26707.799999999581</v>
      </c>
      <c r="K13" s="19">
        <f t="shared" si="2"/>
        <v>-1.3053489052346863E-2</v>
      </c>
    </row>
    <row r="14" spans="1:11" x14ac:dyDescent="0.25">
      <c r="A14" s="9" t="s">
        <v>130</v>
      </c>
      <c r="B14" s="10">
        <f>SUM(Budget_Locked!C26:H26)</f>
        <v>761886.66666666651</v>
      </c>
      <c r="C14" s="10">
        <f>Actuals!I20</f>
        <v>747330</v>
      </c>
      <c r="D14" s="10">
        <f t="shared" ref="D14:D20" si="3">B14-C14</f>
        <v>14556.666666666511</v>
      </c>
      <c r="E14" s="11">
        <f t="shared" si="0"/>
        <v>1.9106078769370573E-2</v>
      </c>
      <c r="F14" s="3" t="str">
        <f>IF(E14&gt;=0,"Favourable",IF(E14&gt;=-Assumptions!$C$44,"On track",IF(E14&gt;=-Assumptions!$C$45,"Watch","Off track")))</f>
        <v>Favourable</v>
      </c>
      <c r="G14" s="10">
        <f>Budget_Locked!O26</f>
        <v>1590246.6666666665</v>
      </c>
      <c r="H14" s="10">
        <f>CHOOSE(Scn_Idx,SUM(Model_Base!I26:N26),SUM(Model_Upside!I26:N26),SUM(Model_Downside!I26:N26))</f>
        <v>828359.99999999977</v>
      </c>
      <c r="I14" s="10">
        <f t="shared" si="1"/>
        <v>1575689.9999999998</v>
      </c>
      <c r="J14" s="10">
        <f t="shared" ref="J14:J20" si="4">G14-I14</f>
        <v>14556.666666666744</v>
      </c>
      <c r="K14" s="11">
        <f t="shared" si="2"/>
        <v>9.153716194971899E-3</v>
      </c>
    </row>
    <row r="15" spans="1:11" x14ac:dyDescent="0.25">
      <c r="A15" s="9" t="s">
        <v>172</v>
      </c>
      <c r="B15" s="10">
        <f>SUM(Budget_Locked!C27:H27)</f>
        <v>109740</v>
      </c>
      <c r="C15" s="10">
        <f>Actuals!I21</f>
        <v>102720</v>
      </c>
      <c r="D15" s="10">
        <f t="shared" si="3"/>
        <v>7020</v>
      </c>
      <c r="E15" s="11">
        <f t="shared" si="0"/>
        <v>6.3969382176052483E-2</v>
      </c>
      <c r="F15" s="3" t="str">
        <f>IF(E15&gt;=0,"Favourable",IF(E15&gt;=-Assumptions!$C$44,"On track",IF(E15&gt;=-Assumptions!$C$45,"Watch","Off track")))</f>
        <v>Favourable</v>
      </c>
      <c r="G15" s="10">
        <f>Budget_Locked!O27</f>
        <v>233120</v>
      </c>
      <c r="H15" s="10">
        <f>CHOOSE(Scn_Idx,SUM(Model_Base!I27:N27),SUM(Model_Upside!I27:N27),SUM(Model_Downside!I27:N27))</f>
        <v>123380</v>
      </c>
      <c r="I15" s="10">
        <f t="shared" si="1"/>
        <v>226100</v>
      </c>
      <c r="J15" s="10">
        <f t="shared" si="4"/>
        <v>7020</v>
      </c>
      <c r="K15" s="11">
        <f t="shared" si="2"/>
        <v>3.0113246396705561E-2</v>
      </c>
    </row>
    <row r="16" spans="1:11" x14ac:dyDescent="0.25">
      <c r="A16" s="9" t="s">
        <v>132</v>
      </c>
      <c r="B16" s="10">
        <f>SUM(Budget_Locked!C28:H28)</f>
        <v>26820</v>
      </c>
      <c r="C16" s="10">
        <f>Actuals!I22</f>
        <v>27539</v>
      </c>
      <c r="D16" s="10">
        <f t="shared" si="3"/>
        <v>-719</v>
      </c>
      <c r="E16" s="11">
        <f t="shared" si="0"/>
        <v>-2.680835197613721E-2</v>
      </c>
      <c r="F16" s="3" t="str">
        <f>IF(E16&gt;=0,"Favourable",IF(E16&gt;=-Assumptions!$C$44,"On track",IF(E16&gt;=-Assumptions!$C$45,"Watch","Off track")))</f>
        <v>Watch</v>
      </c>
      <c r="G16" s="10">
        <f>Budget_Locked!O28</f>
        <v>55980</v>
      </c>
      <c r="H16" s="10">
        <f>CHOOSE(Scn_Idx,SUM(Model_Base!I28:N28),SUM(Model_Upside!I28:N28),SUM(Model_Downside!I28:N28))</f>
        <v>29160</v>
      </c>
      <c r="I16" s="10">
        <f t="shared" si="1"/>
        <v>56699</v>
      </c>
      <c r="J16" s="10">
        <f t="shared" si="4"/>
        <v>-719</v>
      </c>
      <c r="K16" s="11">
        <f t="shared" si="2"/>
        <v>-1.2843872811718471E-2</v>
      </c>
    </row>
    <row r="17" spans="1:11" x14ac:dyDescent="0.25">
      <c r="A17" s="9" t="s">
        <v>56</v>
      </c>
      <c r="B17" s="10">
        <f>SUM(Budget_Locked!C29:H29)</f>
        <v>57000</v>
      </c>
      <c r="C17" s="10">
        <f>Actuals!I23</f>
        <v>56938</v>
      </c>
      <c r="D17" s="10">
        <f t="shared" si="3"/>
        <v>62</v>
      </c>
      <c r="E17" s="11">
        <f t="shared" si="0"/>
        <v>1.087719298245614E-3</v>
      </c>
      <c r="F17" s="3" t="str">
        <f>IF(E17&gt;=0,"Favourable",IF(E17&gt;=-Assumptions!$C$44,"On track",IF(E17&gt;=-Assumptions!$C$45,"Watch","Off track")))</f>
        <v>Favourable</v>
      </c>
      <c r="G17" s="10">
        <f>Budget_Locked!O29</f>
        <v>114000</v>
      </c>
      <c r="H17" s="10">
        <f>CHOOSE(Scn_Idx,SUM(Model_Base!I29:N29),SUM(Model_Upside!I29:N29),SUM(Model_Downside!I29:N29))</f>
        <v>57000</v>
      </c>
      <c r="I17" s="10">
        <f t="shared" si="1"/>
        <v>113938</v>
      </c>
      <c r="J17" s="10">
        <f t="shared" si="4"/>
        <v>62</v>
      </c>
      <c r="K17" s="11">
        <f t="shared" si="2"/>
        <v>5.4385964912280699E-4</v>
      </c>
    </row>
    <row r="18" spans="1:11" x14ac:dyDescent="0.25">
      <c r="A18" s="9" t="s">
        <v>58</v>
      </c>
      <c r="B18" s="10">
        <f>SUM(Budget_Locked!C30:H30)</f>
        <v>25200</v>
      </c>
      <c r="C18" s="10">
        <f>Actuals!I24</f>
        <v>29435</v>
      </c>
      <c r="D18" s="10">
        <f t="shared" si="3"/>
        <v>-4235</v>
      </c>
      <c r="E18" s="11">
        <f t="shared" si="0"/>
        <v>-0.16805555555555557</v>
      </c>
      <c r="F18" s="3" t="str">
        <f>IF(E18&gt;=0,"Favourable",IF(E18&gt;=-Assumptions!$C$44,"On track",IF(E18&gt;=-Assumptions!$C$45,"Watch","Off track")))</f>
        <v>Off track</v>
      </c>
      <c r="G18" s="10">
        <f>Budget_Locked!O30</f>
        <v>50400</v>
      </c>
      <c r="H18" s="10">
        <f>CHOOSE(Scn_Idx,SUM(Model_Base!I30:N30),SUM(Model_Upside!I30:N30),SUM(Model_Downside!I30:N30))</f>
        <v>25200</v>
      </c>
      <c r="I18" s="10">
        <f t="shared" si="1"/>
        <v>54635</v>
      </c>
      <c r="J18" s="10">
        <f t="shared" si="4"/>
        <v>-4235</v>
      </c>
      <c r="K18" s="11">
        <f t="shared" si="2"/>
        <v>-8.4027777777777785E-2</v>
      </c>
    </row>
    <row r="19" spans="1:11" x14ac:dyDescent="0.25">
      <c r="A19" s="9" t="s">
        <v>60</v>
      </c>
      <c r="B19" s="10">
        <f>SUM(Budget_Locked!C31:H31)</f>
        <v>36000</v>
      </c>
      <c r="C19" s="10">
        <f>Actuals!I25</f>
        <v>37753</v>
      </c>
      <c r="D19" s="10">
        <f t="shared" si="3"/>
        <v>-1753</v>
      </c>
      <c r="E19" s="11">
        <f t="shared" si="0"/>
        <v>-4.8694444444444443E-2</v>
      </c>
      <c r="F19" s="3" t="str">
        <f>IF(E19&gt;=0,"Favourable",IF(E19&gt;=-Assumptions!$C$44,"On track",IF(E19&gt;=-Assumptions!$C$45,"Watch","Off track")))</f>
        <v>Watch</v>
      </c>
      <c r="G19" s="10">
        <f>Budget_Locked!O31</f>
        <v>72000</v>
      </c>
      <c r="H19" s="10">
        <f>CHOOSE(Scn_Idx,SUM(Model_Base!I31:N31),SUM(Model_Upside!I31:N31),SUM(Model_Downside!I31:N31))</f>
        <v>36000</v>
      </c>
      <c r="I19" s="10">
        <f t="shared" si="1"/>
        <v>73753</v>
      </c>
      <c r="J19" s="10">
        <f t="shared" si="4"/>
        <v>-1753</v>
      </c>
      <c r="K19" s="11">
        <f t="shared" si="2"/>
        <v>-2.4347222222222221E-2</v>
      </c>
    </row>
    <row r="20" spans="1:11" x14ac:dyDescent="0.25">
      <c r="A20" s="3" t="s">
        <v>133</v>
      </c>
      <c r="B20" s="21">
        <f>SUM(Budget_Locked!C32:H32)</f>
        <v>1016646.6666666667</v>
      </c>
      <c r="C20" s="21">
        <f>Actuals!I26</f>
        <v>1001715</v>
      </c>
      <c r="D20" s="21">
        <f t="shared" si="3"/>
        <v>14931.666666666744</v>
      </c>
      <c r="E20" s="19">
        <f t="shared" si="0"/>
        <v>1.468717417391825E-2</v>
      </c>
      <c r="F20" s="3" t="str">
        <f>IF(E20&gt;=0,"Favourable",IF(E20&gt;=-Assumptions!$C$44,"On track",IF(E20&gt;=-Assumptions!$C$45,"Watch","Off track")))</f>
        <v>Favourable</v>
      </c>
      <c r="G20" s="21">
        <f>Budget_Locked!O32</f>
        <v>2115746.666666667</v>
      </c>
      <c r="H20" s="21">
        <f>CHOOSE(Scn_Idx,SUM(Model_Base!I32:N32),SUM(Model_Upside!I32:N32),SUM(Model_Downside!I32:N32))</f>
        <v>1099099.9999999998</v>
      </c>
      <c r="I20" s="21">
        <f t="shared" si="1"/>
        <v>2100815</v>
      </c>
      <c r="J20" s="21">
        <f t="shared" si="4"/>
        <v>14931.666666666977</v>
      </c>
      <c r="K20" s="19">
        <f t="shared" si="2"/>
        <v>7.0573981762153196E-3</v>
      </c>
    </row>
    <row r="21" spans="1:11" x14ac:dyDescent="0.25">
      <c r="A21" s="3" t="s">
        <v>134</v>
      </c>
      <c r="B21" s="21">
        <f>SUM(Budget_Locked!C33:H33)</f>
        <v>-130031.86666666661</v>
      </c>
      <c r="C21" s="21">
        <f>Actuals!I27</f>
        <v>-141808</v>
      </c>
      <c r="D21" s="21">
        <f>C21-B21</f>
        <v>-11776.13333333339</v>
      </c>
      <c r="E21" s="19">
        <f t="shared" si="0"/>
        <v>-9.0563441371807787E-2</v>
      </c>
      <c r="F21" s="3" t="str">
        <f>IF(E21&gt;=0,"Favourable",IF(E21&gt;=-Assumptions!$C$44,"On track",IF(E21&gt;=-Assumptions!$C$45,"Watch","Off track")))</f>
        <v>Off track</v>
      </c>
      <c r="G21" s="21">
        <f>Budget_Locked!O33</f>
        <v>-69718.980666666466</v>
      </c>
      <c r="H21" s="21">
        <f>CHOOSE(Scn_Idx,SUM(Model_Base!I33:N33),SUM(Model_Upside!I33:N33),SUM(Model_Downside!I33:N33))</f>
        <v>60312.886000000144</v>
      </c>
      <c r="I21" s="21">
        <f t="shared" si="1"/>
        <v>-81495.113999999856</v>
      </c>
      <c r="J21" s="21">
        <f>I21-G21</f>
        <v>-11776.13333333339</v>
      </c>
      <c r="K21" s="19">
        <f t="shared" si="2"/>
        <v>-0.16890857010139435</v>
      </c>
    </row>
    <row r="23" spans="1:11" x14ac:dyDescent="0.25">
      <c r="A23" s="6" t="s">
        <v>188</v>
      </c>
      <c r="B23" s="6"/>
      <c r="C23" s="6"/>
      <c r="D23" s="6"/>
      <c r="E23" s="6"/>
      <c r="F23" s="6"/>
      <c r="G23" s="6"/>
      <c r="H23" s="6"/>
      <c r="I23" s="6"/>
      <c r="J23" s="6"/>
      <c r="K23" s="6"/>
    </row>
    <row r="24" spans="1:11" x14ac:dyDescent="0.25">
      <c r="A24" s="7" t="s">
        <v>189</v>
      </c>
      <c r="B24" s="8" t="s">
        <v>190</v>
      </c>
      <c r="C24" s="8" t="s">
        <v>191</v>
      </c>
      <c r="D24" s="8" t="s">
        <v>192</v>
      </c>
      <c r="E24" s="8" t="s">
        <v>193</v>
      </c>
    </row>
    <row r="25" spans="1:11" x14ac:dyDescent="0.25">
      <c r="A25" s="9" t="s">
        <v>113</v>
      </c>
      <c r="B25" s="12">
        <f>Budget_Locked!H10</f>
        <v>546</v>
      </c>
      <c r="C25" s="12">
        <f>Actuals!H8</f>
        <v>518</v>
      </c>
      <c r="D25" s="12">
        <f>C25-B25</f>
        <v>-28</v>
      </c>
      <c r="E25" s="11">
        <f>IFERROR(D25/ABS(B25),0)</f>
        <v>-5.128205128205128E-2</v>
      </c>
    </row>
    <row r="26" spans="1:11" x14ac:dyDescent="0.25">
      <c r="A26" s="9" t="s">
        <v>194</v>
      </c>
      <c r="B26" s="10">
        <f>Budget_Locked!H47</f>
        <v>421008.13333333342</v>
      </c>
      <c r="C26" s="10">
        <f>Actuals!H29</f>
        <v>403562</v>
      </c>
      <c r="D26" s="10">
        <f>C26-B26</f>
        <v>-17446.133333333419</v>
      </c>
      <c r="E26" s="11">
        <f>IFERROR(D26/ABS(B26),0)</f>
        <v>-4.1438946072617638E-2</v>
      </c>
    </row>
    <row r="27" spans="1:11" x14ac:dyDescent="0.25">
      <c r="A27" s="9" t="s">
        <v>195</v>
      </c>
      <c r="B27" s="12">
        <f>SUM(Budget_Locked!C8:H8)</f>
        <v>177</v>
      </c>
      <c r="C27" s="12">
        <f>Actuals!I6</f>
        <v>156</v>
      </c>
      <c r="D27" s="12">
        <f>C27-B27</f>
        <v>-21</v>
      </c>
      <c r="E27" s="11">
        <f>IFERROR(D27/ABS(B27),0)</f>
        <v>-0.11864406779661017</v>
      </c>
    </row>
    <row r="28" spans="1:11" x14ac:dyDescent="0.25">
      <c r="A28" s="9" t="s">
        <v>196</v>
      </c>
      <c r="B28" s="12">
        <f>SUM(Budget_Locked!C9:H9)</f>
        <v>51</v>
      </c>
      <c r="C28" s="12">
        <f>Actuals!I7</f>
        <v>58</v>
      </c>
      <c r="D28" s="12">
        <f>B28-C28</f>
        <v>-7</v>
      </c>
      <c r="E28" s="11">
        <f>IFERROR(D28/ABS(B28),0)</f>
        <v>-0.13725490196078433</v>
      </c>
    </row>
  </sheetData>
  <conditionalFormatting sqref="D6:E21">
    <cfRule type="cellIs" dxfId="11" priority="1" operator="lessThan">
      <formula>0</formula>
    </cfRule>
    <cfRule type="cellIs" dxfId="10" priority="2" operator="greaterThanOrEqual">
      <formula>0</formula>
    </cfRule>
  </conditionalFormatting>
  <conditionalFormatting sqref="D25:E28">
    <cfRule type="cellIs" dxfId="9" priority="13" operator="lessThan">
      <formula>0</formula>
    </cfRule>
    <cfRule type="cellIs" dxfId="8" priority="14" operator="greaterThanOrEqual">
      <formula>0</formula>
    </cfRule>
  </conditionalFormatting>
  <conditionalFormatting sqref="F6:F21">
    <cfRule type="cellIs" dxfId="7" priority="9" operator="equal">
      <formula>"Off track"</formula>
    </cfRule>
    <cfRule type="cellIs" dxfId="6" priority="10" operator="equal">
      <formula>"Watch"</formula>
    </cfRule>
    <cfRule type="cellIs" dxfId="5" priority="11" operator="equal">
      <formula>"On track"</formula>
    </cfRule>
    <cfRule type="cellIs" dxfId="4" priority="12" operator="equal">
      <formula>"Favourable"</formula>
    </cfRule>
  </conditionalFormatting>
  <conditionalFormatting sqref="J6:K21">
    <cfRule type="cellIs" dxfId="3" priority="5" operator="lessThan">
      <formula>0</formula>
    </cfRule>
    <cfRule type="cellIs" dxfId="2" priority="6" operator="greaterThanOrEqual">
      <formula>0</formula>
    </cfRule>
  </conditionalFormatting>
  <pageMargins left="0.7" right="0.7" top="0.75" bottom="0.75" header="0.3" footer="0.3"/>
  <pageSetup paperSize="9"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00FF"/>
    <pageSetUpPr fitToPage="1"/>
  </sheetPr>
  <dimension ref="A1:I29"/>
  <sheetViews>
    <sheetView showGridLines="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 x14ac:dyDescent="0.25"/>
  <cols>
    <col min="1" max="1" width="36.7109375" customWidth="1"/>
    <col min="2" max="2" width="11.7109375" customWidth="1"/>
    <col min="3" max="9" width="12.7109375" customWidth="1"/>
  </cols>
  <sheetData>
    <row r="1" spans="1:9" ht="23.25" x14ac:dyDescent="0.25">
      <c r="A1" s="1" t="s">
        <v>165</v>
      </c>
    </row>
    <row r="2" spans="1:9" x14ac:dyDescent="0.25">
      <c r="A2" s="2" t="s">
        <v>166</v>
      </c>
    </row>
    <row r="4" spans="1:9" x14ac:dyDescent="0.25">
      <c r="A4" s="7" t="s">
        <v>105</v>
      </c>
      <c r="B4" s="8" t="s">
        <v>3</v>
      </c>
      <c r="C4" s="8" t="s">
        <v>82</v>
      </c>
      <c r="D4" s="8" t="s">
        <v>83</v>
      </c>
      <c r="E4" s="8" t="s">
        <v>84</v>
      </c>
      <c r="F4" s="8" t="s">
        <v>85</v>
      </c>
      <c r="G4" s="8" t="s">
        <v>86</v>
      </c>
      <c r="H4" s="8" t="s">
        <v>87</v>
      </c>
      <c r="I4" s="8" t="s">
        <v>167</v>
      </c>
    </row>
    <row r="5" spans="1:9" x14ac:dyDescent="0.25">
      <c r="A5" s="41" t="s">
        <v>107</v>
      </c>
      <c r="B5" s="41"/>
      <c r="C5" s="41"/>
      <c r="D5" s="41"/>
      <c r="E5" s="41"/>
      <c r="F5" s="41"/>
      <c r="G5" s="41"/>
      <c r="H5" s="41"/>
      <c r="I5" s="41"/>
    </row>
    <row r="6" spans="1:9" x14ac:dyDescent="0.25">
      <c r="A6" s="9" t="s">
        <v>111</v>
      </c>
      <c r="B6" s="13" t="s">
        <v>11</v>
      </c>
      <c r="C6" s="16">
        <v>25</v>
      </c>
      <c r="D6" s="16">
        <v>25</v>
      </c>
      <c r="E6" s="16">
        <v>26</v>
      </c>
      <c r="F6" s="16">
        <v>26</v>
      </c>
      <c r="G6" s="16">
        <v>27</v>
      </c>
      <c r="H6" s="16">
        <v>27</v>
      </c>
      <c r="I6" s="17">
        <f>SUM(C6:H6)</f>
        <v>156</v>
      </c>
    </row>
    <row r="7" spans="1:9" x14ac:dyDescent="0.25">
      <c r="A7" s="9" t="s">
        <v>112</v>
      </c>
      <c r="B7" s="13" t="s">
        <v>11</v>
      </c>
      <c r="C7" s="16">
        <v>9</v>
      </c>
      <c r="D7" s="16">
        <v>9</v>
      </c>
      <c r="E7" s="16">
        <v>9</v>
      </c>
      <c r="F7" s="16">
        <v>10</v>
      </c>
      <c r="G7" s="16">
        <v>10</v>
      </c>
      <c r="H7" s="16">
        <v>11</v>
      </c>
      <c r="I7" s="17">
        <f>SUM(C7:H7)</f>
        <v>58</v>
      </c>
    </row>
    <row r="8" spans="1:9" x14ac:dyDescent="0.25">
      <c r="A8" s="9" t="s">
        <v>113</v>
      </c>
      <c r="B8" s="13" t="s">
        <v>11</v>
      </c>
      <c r="C8" s="16">
        <v>436</v>
      </c>
      <c r="D8" s="16">
        <v>452</v>
      </c>
      <c r="E8" s="16">
        <v>469</v>
      </c>
      <c r="F8" s="16">
        <v>485</v>
      </c>
      <c r="G8" s="16">
        <v>502</v>
      </c>
      <c r="H8" s="16">
        <v>518</v>
      </c>
      <c r="I8" s="17">
        <f>H8</f>
        <v>518</v>
      </c>
    </row>
    <row r="9" spans="1:9" x14ac:dyDescent="0.25">
      <c r="A9" s="41" t="s">
        <v>168</v>
      </c>
      <c r="B9" s="41"/>
      <c r="C9" s="41"/>
      <c r="D9" s="41"/>
      <c r="E9" s="41"/>
      <c r="F9" s="41"/>
      <c r="G9" s="41"/>
      <c r="H9" s="41"/>
      <c r="I9" s="41"/>
    </row>
    <row r="10" spans="1:9" x14ac:dyDescent="0.25">
      <c r="A10" s="9" t="s">
        <v>118</v>
      </c>
      <c r="B10" s="13" t="s">
        <v>119</v>
      </c>
      <c r="C10" s="20">
        <v>134037</v>
      </c>
      <c r="D10" s="20">
        <v>140179</v>
      </c>
      <c r="E10" s="20">
        <v>144864</v>
      </c>
      <c r="F10" s="20">
        <v>147597</v>
      </c>
      <c r="G10" s="20">
        <v>153049</v>
      </c>
      <c r="H10" s="20">
        <v>160903</v>
      </c>
      <c r="I10" s="21">
        <f>SUM(C10:H10)</f>
        <v>880629</v>
      </c>
    </row>
    <row r="11" spans="1:9" x14ac:dyDescent="0.25">
      <c r="A11" s="9" t="s">
        <v>120</v>
      </c>
      <c r="B11" s="13" t="s">
        <v>119</v>
      </c>
      <c r="C11" s="20">
        <v>11083</v>
      </c>
      <c r="D11" s="20">
        <v>11358</v>
      </c>
      <c r="E11" s="20">
        <v>11804</v>
      </c>
      <c r="F11" s="20">
        <v>11689</v>
      </c>
      <c r="G11" s="20">
        <v>12078</v>
      </c>
      <c r="H11" s="20">
        <v>12069</v>
      </c>
      <c r="I11" s="21">
        <f>SUM(C11:H11)</f>
        <v>70081</v>
      </c>
    </row>
    <row r="12" spans="1:9" x14ac:dyDescent="0.25">
      <c r="A12" s="3" t="s">
        <v>121</v>
      </c>
      <c r="B12" s="13" t="s">
        <v>119</v>
      </c>
      <c r="C12" s="21">
        <f t="shared" ref="C12:H12" si="0">C10+C11</f>
        <v>145120</v>
      </c>
      <c r="D12" s="21">
        <f t="shared" si="0"/>
        <v>151537</v>
      </c>
      <c r="E12" s="21">
        <f t="shared" si="0"/>
        <v>156668</v>
      </c>
      <c r="F12" s="21">
        <f t="shared" si="0"/>
        <v>159286</v>
      </c>
      <c r="G12" s="21">
        <f t="shared" si="0"/>
        <v>165127</v>
      </c>
      <c r="H12" s="21">
        <f t="shared" si="0"/>
        <v>172972</v>
      </c>
      <c r="I12" s="21">
        <f>SUM(C12:H12)</f>
        <v>950710</v>
      </c>
    </row>
    <row r="13" spans="1:9" x14ac:dyDescent="0.25">
      <c r="A13" s="41" t="s">
        <v>169</v>
      </c>
      <c r="B13" s="41"/>
      <c r="C13" s="41"/>
      <c r="D13" s="41"/>
      <c r="E13" s="41"/>
      <c r="F13" s="41"/>
      <c r="G13" s="41"/>
      <c r="H13" s="41"/>
      <c r="I13" s="41"/>
    </row>
    <row r="14" spans="1:9" x14ac:dyDescent="0.25">
      <c r="A14" s="9" t="s">
        <v>122</v>
      </c>
      <c r="B14" s="13" t="s">
        <v>119</v>
      </c>
      <c r="C14" s="20">
        <v>6458</v>
      </c>
      <c r="D14" s="20">
        <v>6738</v>
      </c>
      <c r="E14" s="20">
        <v>7001</v>
      </c>
      <c r="F14" s="20">
        <v>7262</v>
      </c>
      <c r="G14" s="20">
        <v>7613</v>
      </c>
      <c r="H14" s="20">
        <v>7820</v>
      </c>
      <c r="I14" s="21">
        <f>SUM(C14:H14)</f>
        <v>42892</v>
      </c>
    </row>
    <row r="15" spans="1:9" x14ac:dyDescent="0.25">
      <c r="A15" s="9" t="s">
        <v>123</v>
      </c>
      <c r="B15" s="13" t="s">
        <v>119</v>
      </c>
      <c r="C15" s="20">
        <v>5155</v>
      </c>
      <c r="D15" s="20">
        <v>5406</v>
      </c>
      <c r="E15" s="20">
        <v>5479</v>
      </c>
      <c r="F15" s="20">
        <v>5666</v>
      </c>
      <c r="G15" s="20">
        <v>5942</v>
      </c>
      <c r="H15" s="20">
        <v>6036</v>
      </c>
      <c r="I15" s="21">
        <f>SUM(C15:H15)</f>
        <v>33684</v>
      </c>
    </row>
    <row r="16" spans="1:9" x14ac:dyDescent="0.25">
      <c r="A16" s="9" t="s">
        <v>124</v>
      </c>
      <c r="B16" s="13" t="s">
        <v>119</v>
      </c>
      <c r="C16" s="20">
        <v>2142</v>
      </c>
      <c r="D16" s="20">
        <v>2248</v>
      </c>
      <c r="E16" s="20">
        <v>2328</v>
      </c>
      <c r="F16" s="20">
        <v>2438</v>
      </c>
      <c r="G16" s="20">
        <v>2501</v>
      </c>
      <c r="H16" s="20">
        <v>2570</v>
      </c>
      <c r="I16" s="21">
        <f>SUM(C16:H16)</f>
        <v>14227</v>
      </c>
    </row>
    <row r="17" spans="1:9" x14ac:dyDescent="0.25">
      <c r="A17" s="3" t="s">
        <v>125</v>
      </c>
      <c r="B17" s="13" t="s">
        <v>119</v>
      </c>
      <c r="C17" s="21">
        <f t="shared" ref="C17:H17" si="1">C14+C15+C16</f>
        <v>13755</v>
      </c>
      <c r="D17" s="21">
        <f t="shared" si="1"/>
        <v>14392</v>
      </c>
      <c r="E17" s="21">
        <f t="shared" si="1"/>
        <v>14808</v>
      </c>
      <c r="F17" s="21">
        <f t="shared" si="1"/>
        <v>15366</v>
      </c>
      <c r="G17" s="21">
        <f t="shared" si="1"/>
        <v>16056</v>
      </c>
      <c r="H17" s="21">
        <f t="shared" si="1"/>
        <v>16426</v>
      </c>
      <c r="I17" s="21">
        <f>SUM(C17:H17)</f>
        <v>90803</v>
      </c>
    </row>
    <row r="18" spans="1:9" x14ac:dyDescent="0.25">
      <c r="A18" s="3" t="s">
        <v>126</v>
      </c>
      <c r="B18" s="13" t="s">
        <v>119</v>
      </c>
      <c r="C18" s="21">
        <f t="shared" ref="C18:H18" si="2">C12-C17</f>
        <v>131365</v>
      </c>
      <c r="D18" s="21">
        <f t="shared" si="2"/>
        <v>137145</v>
      </c>
      <c r="E18" s="21">
        <f t="shared" si="2"/>
        <v>141860</v>
      </c>
      <c r="F18" s="21">
        <f t="shared" si="2"/>
        <v>143920</v>
      </c>
      <c r="G18" s="21">
        <f t="shared" si="2"/>
        <v>149071</v>
      </c>
      <c r="H18" s="21">
        <f t="shared" si="2"/>
        <v>156546</v>
      </c>
      <c r="I18" s="21">
        <f>SUM(C18:H18)</f>
        <v>859907</v>
      </c>
    </row>
    <row r="19" spans="1:9" x14ac:dyDescent="0.25">
      <c r="A19" s="41" t="s">
        <v>170</v>
      </c>
      <c r="B19" s="41"/>
      <c r="C19" s="41"/>
      <c r="D19" s="41"/>
      <c r="E19" s="41"/>
      <c r="F19" s="41"/>
      <c r="G19" s="41"/>
      <c r="H19" s="41"/>
      <c r="I19" s="41"/>
    </row>
    <row r="20" spans="1:9" x14ac:dyDescent="0.25">
      <c r="A20" s="9" t="s">
        <v>130</v>
      </c>
      <c r="B20" s="13" t="s">
        <v>119</v>
      </c>
      <c r="C20" s="20">
        <v>122708</v>
      </c>
      <c r="D20" s="20">
        <v>121790</v>
      </c>
      <c r="E20" s="20">
        <v>120923</v>
      </c>
      <c r="F20" s="20">
        <v>126654</v>
      </c>
      <c r="G20" s="20">
        <v>128570</v>
      </c>
      <c r="H20" s="20">
        <v>126685</v>
      </c>
      <c r="I20" s="21">
        <f t="shared" ref="I20:I27" si="3">SUM(C20:H20)</f>
        <v>747330</v>
      </c>
    </row>
    <row r="21" spans="1:9" x14ac:dyDescent="0.25">
      <c r="A21" s="9" t="s">
        <v>172</v>
      </c>
      <c r="B21" s="13" t="s">
        <v>119</v>
      </c>
      <c r="C21" s="20">
        <v>16435</v>
      </c>
      <c r="D21" s="20">
        <v>16254</v>
      </c>
      <c r="E21" s="20">
        <v>17330</v>
      </c>
      <c r="F21" s="20">
        <v>16982</v>
      </c>
      <c r="G21" s="20">
        <v>17696</v>
      </c>
      <c r="H21" s="20">
        <v>18023</v>
      </c>
      <c r="I21" s="21">
        <f t="shared" si="3"/>
        <v>102720</v>
      </c>
    </row>
    <row r="22" spans="1:9" x14ac:dyDescent="0.25">
      <c r="A22" s="9" t="s">
        <v>132</v>
      </c>
      <c r="B22" s="13" t="s">
        <v>119</v>
      </c>
      <c r="C22" s="20">
        <v>4489</v>
      </c>
      <c r="D22" s="20">
        <v>4535</v>
      </c>
      <c r="E22" s="20">
        <v>4507</v>
      </c>
      <c r="F22" s="20">
        <v>4709</v>
      </c>
      <c r="G22" s="20">
        <v>4618</v>
      </c>
      <c r="H22" s="20">
        <v>4681</v>
      </c>
      <c r="I22" s="21">
        <f t="shared" si="3"/>
        <v>27539</v>
      </c>
    </row>
    <row r="23" spans="1:9" x14ac:dyDescent="0.25">
      <c r="A23" s="9" t="s">
        <v>56</v>
      </c>
      <c r="B23" s="13" t="s">
        <v>119</v>
      </c>
      <c r="C23" s="20">
        <v>9502</v>
      </c>
      <c r="D23" s="20">
        <v>9606</v>
      </c>
      <c r="E23" s="20">
        <v>9460</v>
      </c>
      <c r="F23" s="20">
        <v>9528</v>
      </c>
      <c r="G23" s="20">
        <v>9374</v>
      </c>
      <c r="H23" s="20">
        <v>9468</v>
      </c>
      <c r="I23" s="21">
        <f t="shared" si="3"/>
        <v>56938</v>
      </c>
    </row>
    <row r="24" spans="1:9" x14ac:dyDescent="0.25">
      <c r="A24" s="9" t="s">
        <v>58</v>
      </c>
      <c r="B24" s="13" t="s">
        <v>119</v>
      </c>
      <c r="C24" s="20">
        <v>4874</v>
      </c>
      <c r="D24" s="20">
        <v>4849</v>
      </c>
      <c r="E24" s="20">
        <v>4947</v>
      </c>
      <c r="F24" s="20">
        <v>4882</v>
      </c>
      <c r="G24" s="20">
        <v>4970</v>
      </c>
      <c r="H24" s="20">
        <v>4913</v>
      </c>
      <c r="I24" s="21">
        <f t="shared" si="3"/>
        <v>29435</v>
      </c>
    </row>
    <row r="25" spans="1:9" x14ac:dyDescent="0.25">
      <c r="A25" s="9" t="s">
        <v>60</v>
      </c>
      <c r="B25" s="13" t="s">
        <v>119</v>
      </c>
      <c r="C25" s="20">
        <v>6320</v>
      </c>
      <c r="D25" s="20">
        <v>6326</v>
      </c>
      <c r="E25" s="20">
        <v>6333</v>
      </c>
      <c r="F25" s="20">
        <v>6234</v>
      </c>
      <c r="G25" s="20">
        <v>6289</v>
      </c>
      <c r="H25" s="20">
        <v>6251</v>
      </c>
      <c r="I25" s="21">
        <f t="shared" si="3"/>
        <v>37753</v>
      </c>
    </row>
    <row r="26" spans="1:9" x14ac:dyDescent="0.25">
      <c r="A26" s="3" t="s">
        <v>133</v>
      </c>
      <c r="B26" s="13" t="s">
        <v>119</v>
      </c>
      <c r="C26" s="21">
        <f t="shared" ref="C26:H26" si="4">SUM(C20:C25)</f>
        <v>164328</v>
      </c>
      <c r="D26" s="21">
        <f t="shared" si="4"/>
        <v>163360</v>
      </c>
      <c r="E26" s="21">
        <f t="shared" si="4"/>
        <v>163500</v>
      </c>
      <c r="F26" s="21">
        <f t="shared" si="4"/>
        <v>168989</v>
      </c>
      <c r="G26" s="21">
        <f t="shared" si="4"/>
        <v>171517</v>
      </c>
      <c r="H26" s="21">
        <f t="shared" si="4"/>
        <v>170021</v>
      </c>
      <c r="I26" s="21">
        <f t="shared" si="3"/>
        <v>1001715</v>
      </c>
    </row>
    <row r="27" spans="1:9" x14ac:dyDescent="0.25">
      <c r="A27" s="22" t="s">
        <v>134</v>
      </c>
      <c r="B27" s="13" t="s">
        <v>119</v>
      </c>
      <c r="C27" s="23">
        <f t="shared" ref="C27:H27" si="5">C18-C26</f>
        <v>-32963</v>
      </c>
      <c r="D27" s="23">
        <f t="shared" si="5"/>
        <v>-26215</v>
      </c>
      <c r="E27" s="23">
        <f t="shared" si="5"/>
        <v>-21640</v>
      </c>
      <c r="F27" s="23">
        <f t="shared" si="5"/>
        <v>-25069</v>
      </c>
      <c r="G27" s="23">
        <f t="shared" si="5"/>
        <v>-22446</v>
      </c>
      <c r="H27" s="23">
        <f t="shared" si="5"/>
        <v>-13475</v>
      </c>
      <c r="I27" s="23">
        <f t="shared" si="3"/>
        <v>-141808</v>
      </c>
    </row>
    <row r="28" spans="1:9" x14ac:dyDescent="0.25">
      <c r="A28" s="41" t="s">
        <v>171</v>
      </c>
      <c r="B28" s="41"/>
      <c r="C28" s="41"/>
      <c r="D28" s="41"/>
      <c r="E28" s="41"/>
      <c r="F28" s="41"/>
      <c r="G28" s="41"/>
      <c r="H28" s="41"/>
      <c r="I28" s="41"/>
    </row>
    <row r="29" spans="1:9" x14ac:dyDescent="0.25">
      <c r="A29" s="9" t="s">
        <v>173</v>
      </c>
      <c r="B29" s="13" t="s">
        <v>119</v>
      </c>
      <c r="C29" s="20">
        <v>564607</v>
      </c>
      <c r="D29" s="20">
        <v>526656</v>
      </c>
      <c r="E29" s="20">
        <v>492988</v>
      </c>
      <c r="F29" s="20">
        <v>458732</v>
      </c>
      <c r="G29" s="20">
        <v>428791</v>
      </c>
      <c r="H29" s="20">
        <v>403562</v>
      </c>
      <c r="I29" s="21">
        <f>H29</f>
        <v>403562</v>
      </c>
    </row>
  </sheetData>
  <mergeCells count="5">
    <mergeCell ref="A5:I5"/>
    <mergeCell ref="A9:I9"/>
    <mergeCell ref="A13:I13"/>
    <mergeCell ref="A19:I19"/>
    <mergeCell ref="A28:I28"/>
  </mergeCells>
  <pageMargins left="0.7" right="0.7" top="0.75" bottom="0.75" header="0.3" footer="0.3"/>
  <pageSetup paperSize="9"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7A7A7A"/>
    <pageSetUpPr fitToPage="1"/>
  </sheetPr>
  <dimension ref="A1:Q50"/>
  <sheetViews>
    <sheetView showGridLines="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 x14ac:dyDescent="0.25"/>
  <cols>
    <col min="1" max="1" width="36.7109375" customWidth="1"/>
    <col min="2" max="2" width="11.7109375" customWidth="1"/>
    <col min="3" max="15" width="12.28515625" customWidth="1"/>
    <col min="17" max="17" width="60.7109375" customWidth="1"/>
  </cols>
  <sheetData>
    <row r="1" spans="1:17" ht="23.25" x14ac:dyDescent="0.25">
      <c r="A1" s="1" t="s">
        <v>161</v>
      </c>
    </row>
    <row r="2" spans="1:17" x14ac:dyDescent="0.25">
      <c r="A2" s="2" t="s">
        <v>162</v>
      </c>
    </row>
    <row r="4" spans="1:17" x14ac:dyDescent="0.25">
      <c r="A4" s="7" t="s">
        <v>105</v>
      </c>
      <c r="B4" s="8" t="s">
        <v>3</v>
      </c>
      <c r="C4" s="8" t="s">
        <v>82</v>
      </c>
      <c r="D4" s="8" t="s">
        <v>83</v>
      </c>
      <c r="E4" s="8" t="s">
        <v>84</v>
      </c>
      <c r="F4" s="8" t="s">
        <v>85</v>
      </c>
      <c r="G4" s="8" t="s">
        <v>86</v>
      </c>
      <c r="H4" s="8" t="s">
        <v>87</v>
      </c>
      <c r="I4" s="8" t="s">
        <v>88</v>
      </c>
      <c r="J4" s="8" t="s">
        <v>89</v>
      </c>
      <c r="K4" s="8" t="s">
        <v>90</v>
      </c>
      <c r="L4" s="8" t="s">
        <v>91</v>
      </c>
      <c r="M4" s="8" t="s">
        <v>92</v>
      </c>
      <c r="N4" s="8" t="s">
        <v>93</v>
      </c>
      <c r="O4" s="8" t="s">
        <v>106</v>
      </c>
      <c r="Q4" s="7" t="s">
        <v>163</v>
      </c>
    </row>
    <row r="5" spans="1:17" ht="25.5" x14ac:dyDescent="0.25">
      <c r="A5" s="41" t="s">
        <v>107</v>
      </c>
      <c r="B5" s="41"/>
      <c r="C5" s="41"/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Q5" s="15" t="s">
        <v>164</v>
      </c>
    </row>
    <row r="6" spans="1:17" x14ac:dyDescent="0.25">
      <c r="A6" s="13" t="s">
        <v>108</v>
      </c>
      <c r="B6" s="13" t="s">
        <v>109</v>
      </c>
      <c r="C6" s="24">
        <v>1</v>
      </c>
      <c r="D6" s="24">
        <v>2</v>
      </c>
      <c r="E6" s="24">
        <v>3</v>
      </c>
      <c r="F6" s="24">
        <v>4</v>
      </c>
      <c r="G6" s="24">
        <v>5</v>
      </c>
      <c r="H6" s="24">
        <v>6</v>
      </c>
      <c r="I6" s="24">
        <v>7</v>
      </c>
      <c r="J6" s="24">
        <v>8</v>
      </c>
      <c r="K6" s="24">
        <v>9</v>
      </c>
      <c r="L6" s="24">
        <v>10</v>
      </c>
      <c r="M6" s="24">
        <v>11</v>
      </c>
      <c r="N6" s="24">
        <v>12</v>
      </c>
    </row>
    <row r="7" spans="1:17" x14ac:dyDescent="0.25">
      <c r="A7" s="9" t="s">
        <v>110</v>
      </c>
      <c r="B7" s="13" t="s">
        <v>11</v>
      </c>
      <c r="C7" s="25">
        <v>420</v>
      </c>
      <c r="D7" s="25">
        <v>440</v>
      </c>
      <c r="E7" s="25">
        <v>461</v>
      </c>
      <c r="F7" s="25">
        <v>482</v>
      </c>
      <c r="G7" s="25">
        <v>503</v>
      </c>
      <c r="H7" s="25">
        <v>524</v>
      </c>
      <c r="I7" s="25">
        <v>546</v>
      </c>
      <c r="J7" s="25">
        <v>568</v>
      </c>
      <c r="K7" s="25">
        <v>590</v>
      </c>
      <c r="L7" s="25">
        <v>612</v>
      </c>
      <c r="M7" s="25">
        <v>634</v>
      </c>
      <c r="N7" s="25">
        <v>657</v>
      </c>
      <c r="O7" s="12">
        <f>C7</f>
        <v>420</v>
      </c>
    </row>
    <row r="8" spans="1:17" x14ac:dyDescent="0.25">
      <c r="A8" s="9" t="s">
        <v>111</v>
      </c>
      <c r="B8" s="13" t="s">
        <v>11</v>
      </c>
      <c r="C8" s="25">
        <v>28</v>
      </c>
      <c r="D8" s="25">
        <v>29</v>
      </c>
      <c r="E8" s="25">
        <v>29</v>
      </c>
      <c r="F8" s="25">
        <v>30</v>
      </c>
      <c r="G8" s="25">
        <v>30</v>
      </c>
      <c r="H8" s="25">
        <v>31</v>
      </c>
      <c r="I8" s="25">
        <v>32</v>
      </c>
      <c r="J8" s="25">
        <v>32</v>
      </c>
      <c r="K8" s="25">
        <v>33</v>
      </c>
      <c r="L8" s="25">
        <v>33</v>
      </c>
      <c r="M8" s="25">
        <v>34</v>
      </c>
      <c r="N8" s="25">
        <v>35</v>
      </c>
      <c r="O8" s="12">
        <f>SUM(C8:N8)</f>
        <v>376</v>
      </c>
    </row>
    <row r="9" spans="1:17" x14ac:dyDescent="0.25">
      <c r="A9" s="9" t="s">
        <v>112</v>
      </c>
      <c r="B9" s="13" t="s">
        <v>11</v>
      </c>
      <c r="C9" s="25">
        <v>8</v>
      </c>
      <c r="D9" s="25">
        <v>8</v>
      </c>
      <c r="E9" s="25">
        <v>8</v>
      </c>
      <c r="F9" s="25">
        <v>9</v>
      </c>
      <c r="G9" s="25">
        <v>9</v>
      </c>
      <c r="H9" s="25">
        <v>9</v>
      </c>
      <c r="I9" s="25">
        <v>10</v>
      </c>
      <c r="J9" s="25">
        <v>10</v>
      </c>
      <c r="K9" s="25">
        <v>11</v>
      </c>
      <c r="L9" s="25">
        <v>11</v>
      </c>
      <c r="M9" s="25">
        <v>11</v>
      </c>
      <c r="N9" s="25">
        <v>12</v>
      </c>
      <c r="O9" s="12">
        <f>SUM(C9:N9)</f>
        <v>116</v>
      </c>
    </row>
    <row r="10" spans="1:17" x14ac:dyDescent="0.25">
      <c r="A10" s="3" t="s">
        <v>113</v>
      </c>
      <c r="B10" s="13" t="s">
        <v>11</v>
      </c>
      <c r="C10" s="25">
        <v>440</v>
      </c>
      <c r="D10" s="25">
        <v>461</v>
      </c>
      <c r="E10" s="25">
        <v>482</v>
      </c>
      <c r="F10" s="25">
        <v>503</v>
      </c>
      <c r="G10" s="25">
        <v>524</v>
      </c>
      <c r="H10" s="25">
        <v>546</v>
      </c>
      <c r="I10" s="25">
        <v>568</v>
      </c>
      <c r="J10" s="25">
        <v>590</v>
      </c>
      <c r="K10" s="25">
        <v>612</v>
      </c>
      <c r="L10" s="25">
        <v>634</v>
      </c>
      <c r="M10" s="25">
        <v>657</v>
      </c>
      <c r="N10" s="25">
        <v>680</v>
      </c>
      <c r="O10" s="17">
        <f>N10</f>
        <v>680</v>
      </c>
    </row>
    <row r="11" spans="1:17" x14ac:dyDescent="0.25">
      <c r="A11" s="9" t="s">
        <v>114</v>
      </c>
      <c r="B11" s="13" t="s">
        <v>11</v>
      </c>
      <c r="C11" s="26">
        <v>430</v>
      </c>
      <c r="D11" s="26">
        <v>450.5</v>
      </c>
      <c r="E11" s="26">
        <v>471.5</v>
      </c>
      <c r="F11" s="26">
        <v>492.5</v>
      </c>
      <c r="G11" s="26">
        <v>513.5</v>
      </c>
      <c r="H11" s="26">
        <v>535</v>
      </c>
      <c r="I11" s="26">
        <v>557</v>
      </c>
      <c r="J11" s="26">
        <v>579</v>
      </c>
      <c r="K11" s="26">
        <v>601</v>
      </c>
      <c r="L11" s="26">
        <v>623</v>
      </c>
      <c r="M11" s="26">
        <v>645.5</v>
      </c>
      <c r="N11" s="26">
        <v>668.5</v>
      </c>
      <c r="O11" s="14">
        <f>AVERAGE(C11:N11)</f>
        <v>547.25</v>
      </c>
    </row>
    <row r="12" spans="1:17" x14ac:dyDescent="0.25">
      <c r="A12" s="9" t="s">
        <v>115</v>
      </c>
      <c r="B12" s="13" t="s">
        <v>116</v>
      </c>
      <c r="C12" s="27">
        <v>310</v>
      </c>
      <c r="D12" s="27">
        <v>310</v>
      </c>
      <c r="E12" s="27">
        <v>310</v>
      </c>
      <c r="F12" s="27">
        <v>310</v>
      </c>
      <c r="G12" s="27">
        <v>310</v>
      </c>
      <c r="H12" s="27">
        <v>310</v>
      </c>
      <c r="I12" s="27">
        <v>322.39999999999998</v>
      </c>
      <c r="J12" s="27">
        <v>322.39999999999998</v>
      </c>
      <c r="K12" s="27">
        <v>322.39999999999998</v>
      </c>
      <c r="L12" s="27">
        <v>322.39999999999998</v>
      </c>
      <c r="M12" s="27">
        <v>322.39999999999998</v>
      </c>
      <c r="N12" s="27">
        <v>322.39999999999998</v>
      </c>
      <c r="O12" s="28">
        <f>AVERAGE(C12:N12)</f>
        <v>316.20000000000005</v>
      </c>
    </row>
    <row r="13" spans="1:17" x14ac:dyDescent="0.25">
      <c r="A13" s="41" t="s">
        <v>117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</row>
    <row r="14" spans="1:17" x14ac:dyDescent="0.25">
      <c r="A14" s="9" t="s">
        <v>118</v>
      </c>
      <c r="B14" s="13" t="s">
        <v>119</v>
      </c>
      <c r="C14" s="29">
        <v>133300</v>
      </c>
      <c r="D14" s="29">
        <v>139655</v>
      </c>
      <c r="E14" s="29">
        <v>146165</v>
      </c>
      <c r="F14" s="29">
        <v>152675</v>
      </c>
      <c r="G14" s="29">
        <v>159185</v>
      </c>
      <c r="H14" s="29">
        <v>165850</v>
      </c>
      <c r="I14" s="29">
        <v>179576.8</v>
      </c>
      <c r="J14" s="29">
        <v>186669.6</v>
      </c>
      <c r="K14" s="29">
        <v>193762.4</v>
      </c>
      <c r="L14" s="29">
        <v>200855.2</v>
      </c>
      <c r="M14" s="29">
        <v>208109.2</v>
      </c>
      <c r="N14" s="29">
        <v>215524.4</v>
      </c>
      <c r="O14" s="10">
        <f t="shared" ref="O14:O21" si="0">SUM(C14:N14)</f>
        <v>2081327.5999999999</v>
      </c>
    </row>
    <row r="15" spans="1:17" x14ac:dyDescent="0.25">
      <c r="A15" s="9" t="s">
        <v>120</v>
      </c>
      <c r="B15" s="13" t="s">
        <v>119</v>
      </c>
      <c r="C15" s="29">
        <v>12600</v>
      </c>
      <c r="D15" s="29">
        <v>13050</v>
      </c>
      <c r="E15" s="29">
        <v>13050</v>
      </c>
      <c r="F15" s="29">
        <v>13500</v>
      </c>
      <c r="G15" s="29">
        <v>13500</v>
      </c>
      <c r="H15" s="29">
        <v>13950</v>
      </c>
      <c r="I15" s="29">
        <v>14400</v>
      </c>
      <c r="J15" s="29">
        <v>14400</v>
      </c>
      <c r="K15" s="29">
        <v>14850</v>
      </c>
      <c r="L15" s="29">
        <v>14850</v>
      </c>
      <c r="M15" s="29">
        <v>15300</v>
      </c>
      <c r="N15" s="29">
        <v>15750</v>
      </c>
      <c r="O15" s="10">
        <f t="shared" si="0"/>
        <v>169200</v>
      </c>
    </row>
    <row r="16" spans="1:17" x14ac:dyDescent="0.25">
      <c r="A16" s="3" t="s">
        <v>121</v>
      </c>
      <c r="B16" s="13" t="s">
        <v>119</v>
      </c>
      <c r="C16" s="29">
        <v>145900</v>
      </c>
      <c r="D16" s="29">
        <v>152705</v>
      </c>
      <c r="E16" s="29">
        <v>159215</v>
      </c>
      <c r="F16" s="29">
        <v>166175</v>
      </c>
      <c r="G16" s="29">
        <v>172685</v>
      </c>
      <c r="H16" s="29">
        <v>179800</v>
      </c>
      <c r="I16" s="29">
        <v>193976.8</v>
      </c>
      <c r="J16" s="29">
        <v>201069.6</v>
      </c>
      <c r="K16" s="29">
        <v>208612.4</v>
      </c>
      <c r="L16" s="29">
        <v>215705.2</v>
      </c>
      <c r="M16" s="29">
        <v>223409.2</v>
      </c>
      <c r="N16" s="29">
        <v>231274.4</v>
      </c>
      <c r="O16" s="21">
        <f t="shared" si="0"/>
        <v>2250527.6</v>
      </c>
    </row>
    <row r="17" spans="1:15" x14ac:dyDescent="0.25">
      <c r="A17" s="9" t="s">
        <v>122</v>
      </c>
      <c r="B17" s="13" t="s">
        <v>119</v>
      </c>
      <c r="C17" s="29">
        <v>6020</v>
      </c>
      <c r="D17" s="29">
        <v>6307</v>
      </c>
      <c r="E17" s="29">
        <v>6601</v>
      </c>
      <c r="F17" s="29">
        <v>6895</v>
      </c>
      <c r="G17" s="29">
        <v>7189</v>
      </c>
      <c r="H17" s="29">
        <v>7490</v>
      </c>
      <c r="I17" s="29">
        <v>7798</v>
      </c>
      <c r="J17" s="29">
        <v>8106</v>
      </c>
      <c r="K17" s="29">
        <v>8414</v>
      </c>
      <c r="L17" s="29">
        <v>8722</v>
      </c>
      <c r="M17" s="29">
        <v>9037</v>
      </c>
      <c r="N17" s="29">
        <v>9359</v>
      </c>
      <c r="O17" s="10">
        <f t="shared" si="0"/>
        <v>91938</v>
      </c>
    </row>
    <row r="18" spans="1:15" x14ac:dyDescent="0.25">
      <c r="A18" s="9" t="s">
        <v>123</v>
      </c>
      <c r="B18" s="13" t="s">
        <v>119</v>
      </c>
      <c r="C18" s="29">
        <v>5160</v>
      </c>
      <c r="D18" s="29">
        <v>5406</v>
      </c>
      <c r="E18" s="29">
        <v>5658</v>
      </c>
      <c r="F18" s="29">
        <v>5910</v>
      </c>
      <c r="G18" s="29">
        <v>6162</v>
      </c>
      <c r="H18" s="29">
        <v>6420</v>
      </c>
      <c r="I18" s="29">
        <v>6684</v>
      </c>
      <c r="J18" s="29">
        <v>6948</v>
      </c>
      <c r="K18" s="29">
        <v>7212</v>
      </c>
      <c r="L18" s="29">
        <v>7476</v>
      </c>
      <c r="M18" s="29">
        <v>7746</v>
      </c>
      <c r="N18" s="29">
        <v>8022</v>
      </c>
      <c r="O18" s="10">
        <f t="shared" si="0"/>
        <v>78804</v>
      </c>
    </row>
    <row r="19" spans="1:15" x14ac:dyDescent="0.25">
      <c r="A19" s="9" t="s">
        <v>124</v>
      </c>
      <c r="B19" s="13" t="s">
        <v>119</v>
      </c>
      <c r="C19" s="29">
        <v>2188.5</v>
      </c>
      <c r="D19" s="29">
        <v>2290.5749999999998</v>
      </c>
      <c r="E19" s="29">
        <v>2388.2249999999999</v>
      </c>
      <c r="F19" s="29">
        <v>2492.625</v>
      </c>
      <c r="G19" s="29">
        <v>2590.2750000000001</v>
      </c>
      <c r="H19" s="29">
        <v>2697</v>
      </c>
      <c r="I19" s="29">
        <v>2909.652</v>
      </c>
      <c r="J19" s="29">
        <v>3016.0439999999999</v>
      </c>
      <c r="K19" s="29">
        <v>3129.1860000000001</v>
      </c>
      <c r="L19" s="29">
        <v>3235.578</v>
      </c>
      <c r="M19" s="29">
        <v>3351.1379999999999</v>
      </c>
      <c r="N19" s="29">
        <v>3469.116</v>
      </c>
      <c r="O19" s="10">
        <f t="shared" si="0"/>
        <v>33757.914000000004</v>
      </c>
    </row>
    <row r="20" spans="1:15" x14ac:dyDescent="0.25">
      <c r="A20" s="3" t="s">
        <v>125</v>
      </c>
      <c r="B20" s="13" t="s">
        <v>119</v>
      </c>
      <c r="C20" s="29">
        <v>13368.5</v>
      </c>
      <c r="D20" s="29">
        <v>14003.575000000001</v>
      </c>
      <c r="E20" s="29">
        <v>14647.225</v>
      </c>
      <c r="F20" s="29">
        <v>15297.625</v>
      </c>
      <c r="G20" s="29">
        <v>15941.275</v>
      </c>
      <c r="H20" s="29">
        <v>16607</v>
      </c>
      <c r="I20" s="29">
        <v>17391.651999999998</v>
      </c>
      <c r="J20" s="29">
        <v>18070.044000000002</v>
      </c>
      <c r="K20" s="29">
        <v>18755.186000000002</v>
      </c>
      <c r="L20" s="29">
        <v>19433.578000000001</v>
      </c>
      <c r="M20" s="29">
        <v>20134.137999999999</v>
      </c>
      <c r="N20" s="29">
        <v>20850.116000000002</v>
      </c>
      <c r="O20" s="21">
        <f t="shared" si="0"/>
        <v>204499.91400000002</v>
      </c>
    </row>
    <row r="21" spans="1:15" x14ac:dyDescent="0.25">
      <c r="A21" s="3" t="s">
        <v>126</v>
      </c>
      <c r="B21" s="13" t="s">
        <v>119</v>
      </c>
      <c r="C21" s="29">
        <v>132531.5</v>
      </c>
      <c r="D21" s="29">
        <v>138701.42499999999</v>
      </c>
      <c r="E21" s="29">
        <v>144567.77499999999</v>
      </c>
      <c r="F21" s="29">
        <v>150877.375</v>
      </c>
      <c r="G21" s="29">
        <v>156743.72500000001</v>
      </c>
      <c r="H21" s="29">
        <v>163193</v>
      </c>
      <c r="I21" s="29">
        <v>176585.14799999999</v>
      </c>
      <c r="J21" s="29">
        <v>182999.55600000001</v>
      </c>
      <c r="K21" s="29">
        <v>189857.21400000001</v>
      </c>
      <c r="L21" s="29">
        <v>196271.622</v>
      </c>
      <c r="M21" s="29">
        <v>203275.06200000001</v>
      </c>
      <c r="N21" s="29">
        <v>210424.28400000001</v>
      </c>
      <c r="O21" s="21">
        <f t="shared" si="0"/>
        <v>2046027.6859999998</v>
      </c>
    </row>
    <row r="22" spans="1:15" x14ac:dyDescent="0.25">
      <c r="A22" s="13" t="s">
        <v>127</v>
      </c>
      <c r="B22" s="13" t="s">
        <v>25</v>
      </c>
      <c r="C22" s="30">
        <v>0.90837217272104176</v>
      </c>
      <c r="D22" s="30">
        <v>0.90829655217576366</v>
      </c>
      <c r="E22" s="30">
        <v>0.9080034858524636</v>
      </c>
      <c r="F22" s="30">
        <v>0.90794268090868058</v>
      </c>
      <c r="G22" s="30">
        <v>0.90768581521267055</v>
      </c>
      <c r="H22" s="30">
        <v>0.90763626251390439</v>
      </c>
      <c r="I22" s="30">
        <v>0.91034158724136083</v>
      </c>
      <c r="J22" s="30">
        <v>0.91013040260685851</v>
      </c>
      <c r="K22" s="30">
        <v>0.91009553602758042</v>
      </c>
      <c r="L22" s="30">
        <v>0.90990677090770178</v>
      </c>
      <c r="M22" s="30">
        <v>0.90987775794371939</v>
      </c>
      <c r="N22" s="30">
        <v>0.90984684859197551</v>
      </c>
      <c r="O22" s="31">
        <f>IFERROR(O21/O16,0)</f>
        <v>0.90913245676258303</v>
      </c>
    </row>
    <row r="23" spans="1:15" x14ac:dyDescent="0.25">
      <c r="A23" s="13" t="s">
        <v>42</v>
      </c>
      <c r="B23" s="13" t="s">
        <v>43</v>
      </c>
      <c r="C23" s="25">
        <v>24</v>
      </c>
      <c r="D23" s="25">
        <v>24</v>
      </c>
      <c r="E23" s="25">
        <v>24</v>
      </c>
      <c r="F23" s="25">
        <v>25</v>
      </c>
      <c r="G23" s="25">
        <v>25</v>
      </c>
      <c r="H23" s="25">
        <v>25</v>
      </c>
      <c r="I23" s="25">
        <v>26</v>
      </c>
      <c r="J23" s="25">
        <v>26</v>
      </c>
      <c r="K23" s="25">
        <v>26</v>
      </c>
      <c r="L23" s="25">
        <v>27</v>
      </c>
      <c r="M23" s="25">
        <v>27</v>
      </c>
      <c r="N23" s="25">
        <v>28</v>
      </c>
      <c r="O23" s="24">
        <f>C23</f>
        <v>24</v>
      </c>
    </row>
    <row r="24" spans="1:15" x14ac:dyDescent="0.25">
      <c r="A24" s="13" t="s">
        <v>128</v>
      </c>
      <c r="B24" s="13" t="s">
        <v>43</v>
      </c>
      <c r="C24" s="25">
        <v>0</v>
      </c>
      <c r="D24" s="25">
        <v>0</v>
      </c>
      <c r="E24" s="25">
        <v>1</v>
      </c>
      <c r="F24" s="25">
        <v>0</v>
      </c>
      <c r="G24" s="25">
        <v>0</v>
      </c>
      <c r="H24" s="25">
        <v>1</v>
      </c>
      <c r="I24" s="25">
        <v>0</v>
      </c>
      <c r="J24" s="25">
        <v>0</v>
      </c>
      <c r="K24" s="25">
        <v>1</v>
      </c>
      <c r="L24" s="25">
        <v>0</v>
      </c>
      <c r="M24" s="25">
        <v>1</v>
      </c>
      <c r="N24" s="25">
        <v>0</v>
      </c>
      <c r="O24" s="24">
        <f>SUM(C24:N24)</f>
        <v>4</v>
      </c>
    </row>
    <row r="25" spans="1:15" x14ac:dyDescent="0.25">
      <c r="A25" s="13" t="s">
        <v>129</v>
      </c>
      <c r="B25" s="13" t="s">
        <v>43</v>
      </c>
      <c r="C25" s="25">
        <v>24</v>
      </c>
      <c r="D25" s="25">
        <v>24</v>
      </c>
      <c r="E25" s="25">
        <v>25</v>
      </c>
      <c r="F25" s="25">
        <v>25</v>
      </c>
      <c r="G25" s="25">
        <v>25</v>
      </c>
      <c r="H25" s="25">
        <v>26</v>
      </c>
      <c r="I25" s="25">
        <v>26</v>
      </c>
      <c r="J25" s="25">
        <v>26</v>
      </c>
      <c r="K25" s="25">
        <v>27</v>
      </c>
      <c r="L25" s="25">
        <v>27</v>
      </c>
      <c r="M25" s="25">
        <v>28</v>
      </c>
      <c r="N25" s="25">
        <v>28</v>
      </c>
      <c r="O25" s="24">
        <f>N25</f>
        <v>28</v>
      </c>
    </row>
    <row r="26" spans="1:15" x14ac:dyDescent="0.25">
      <c r="A26" s="9" t="s">
        <v>130</v>
      </c>
      <c r="B26" s="13" t="s">
        <v>119</v>
      </c>
      <c r="C26" s="29">
        <v>122720</v>
      </c>
      <c r="D26" s="29">
        <v>122720</v>
      </c>
      <c r="E26" s="29">
        <v>127833.3333333333</v>
      </c>
      <c r="F26" s="29">
        <v>127833.3333333333</v>
      </c>
      <c r="G26" s="29">
        <v>127833.3333333333</v>
      </c>
      <c r="H26" s="29">
        <v>132946.66666666669</v>
      </c>
      <c r="I26" s="29">
        <v>132946.66666666669</v>
      </c>
      <c r="J26" s="29">
        <v>132946.66666666669</v>
      </c>
      <c r="K26" s="29">
        <v>138060</v>
      </c>
      <c r="L26" s="29">
        <v>138060</v>
      </c>
      <c r="M26" s="29">
        <v>143173.33333333331</v>
      </c>
      <c r="N26" s="29">
        <v>143173.33333333331</v>
      </c>
      <c r="O26" s="10">
        <f t="shared" ref="O26:O33" si="1">SUM(C26:N26)</f>
        <v>1590246.6666666665</v>
      </c>
    </row>
    <row r="27" spans="1:15" x14ac:dyDescent="0.25">
      <c r="A27" s="9" t="s">
        <v>131</v>
      </c>
      <c r="B27" s="13" t="s">
        <v>119</v>
      </c>
      <c r="C27" s="29">
        <v>17360</v>
      </c>
      <c r="D27" s="29">
        <v>17980</v>
      </c>
      <c r="E27" s="29">
        <v>17980</v>
      </c>
      <c r="F27" s="29">
        <v>18600</v>
      </c>
      <c r="G27" s="29">
        <v>18600</v>
      </c>
      <c r="H27" s="29">
        <v>19220</v>
      </c>
      <c r="I27" s="29">
        <v>19840</v>
      </c>
      <c r="J27" s="29">
        <v>19840</v>
      </c>
      <c r="K27" s="29">
        <v>20460</v>
      </c>
      <c r="L27" s="29">
        <v>20460</v>
      </c>
      <c r="M27" s="29">
        <v>21080</v>
      </c>
      <c r="N27" s="29">
        <v>21700</v>
      </c>
      <c r="O27" s="10">
        <f t="shared" si="1"/>
        <v>233120</v>
      </c>
    </row>
    <row r="28" spans="1:15" x14ac:dyDescent="0.25">
      <c r="A28" s="9" t="s">
        <v>132</v>
      </c>
      <c r="B28" s="13" t="s">
        <v>119</v>
      </c>
      <c r="C28" s="29">
        <v>4320</v>
      </c>
      <c r="D28" s="29">
        <v>4320</v>
      </c>
      <c r="E28" s="29">
        <v>4500</v>
      </c>
      <c r="F28" s="29">
        <v>4500</v>
      </c>
      <c r="G28" s="29">
        <v>4500</v>
      </c>
      <c r="H28" s="29">
        <v>4680</v>
      </c>
      <c r="I28" s="29">
        <v>4680</v>
      </c>
      <c r="J28" s="29">
        <v>4680</v>
      </c>
      <c r="K28" s="29">
        <v>4860</v>
      </c>
      <c r="L28" s="29">
        <v>4860</v>
      </c>
      <c r="M28" s="29">
        <v>5040</v>
      </c>
      <c r="N28" s="29">
        <v>5040</v>
      </c>
      <c r="O28" s="10">
        <f t="shared" si="1"/>
        <v>55980</v>
      </c>
    </row>
    <row r="29" spans="1:15" x14ac:dyDescent="0.25">
      <c r="A29" s="9" t="s">
        <v>56</v>
      </c>
      <c r="B29" s="13" t="s">
        <v>119</v>
      </c>
      <c r="C29" s="29">
        <v>9500</v>
      </c>
      <c r="D29" s="29">
        <v>9500</v>
      </c>
      <c r="E29" s="29">
        <v>9500</v>
      </c>
      <c r="F29" s="29">
        <v>9500</v>
      </c>
      <c r="G29" s="29">
        <v>9500</v>
      </c>
      <c r="H29" s="29">
        <v>9500</v>
      </c>
      <c r="I29" s="29">
        <v>9500</v>
      </c>
      <c r="J29" s="29">
        <v>9500</v>
      </c>
      <c r="K29" s="29">
        <v>9500</v>
      </c>
      <c r="L29" s="29">
        <v>9500</v>
      </c>
      <c r="M29" s="29">
        <v>9500</v>
      </c>
      <c r="N29" s="29">
        <v>9500</v>
      </c>
      <c r="O29" s="10">
        <f t="shared" si="1"/>
        <v>114000</v>
      </c>
    </row>
    <row r="30" spans="1:15" x14ac:dyDescent="0.25">
      <c r="A30" s="9" t="s">
        <v>58</v>
      </c>
      <c r="B30" s="13" t="s">
        <v>119</v>
      </c>
      <c r="C30" s="29">
        <v>4200</v>
      </c>
      <c r="D30" s="29">
        <v>4200</v>
      </c>
      <c r="E30" s="29">
        <v>4200</v>
      </c>
      <c r="F30" s="29">
        <v>4200</v>
      </c>
      <c r="G30" s="29">
        <v>4200</v>
      </c>
      <c r="H30" s="29">
        <v>4200</v>
      </c>
      <c r="I30" s="29">
        <v>4200</v>
      </c>
      <c r="J30" s="29">
        <v>4200</v>
      </c>
      <c r="K30" s="29">
        <v>4200</v>
      </c>
      <c r="L30" s="29">
        <v>4200</v>
      </c>
      <c r="M30" s="29">
        <v>4200</v>
      </c>
      <c r="N30" s="29">
        <v>4200</v>
      </c>
      <c r="O30" s="10">
        <f t="shared" si="1"/>
        <v>50400</v>
      </c>
    </row>
    <row r="31" spans="1:15" x14ac:dyDescent="0.25">
      <c r="A31" s="9" t="s">
        <v>60</v>
      </c>
      <c r="B31" s="13" t="s">
        <v>119</v>
      </c>
      <c r="C31" s="29">
        <v>6000</v>
      </c>
      <c r="D31" s="29">
        <v>6000</v>
      </c>
      <c r="E31" s="29">
        <v>6000</v>
      </c>
      <c r="F31" s="29">
        <v>6000</v>
      </c>
      <c r="G31" s="29">
        <v>6000</v>
      </c>
      <c r="H31" s="29">
        <v>6000</v>
      </c>
      <c r="I31" s="29">
        <v>6000</v>
      </c>
      <c r="J31" s="29">
        <v>6000</v>
      </c>
      <c r="K31" s="29">
        <v>6000</v>
      </c>
      <c r="L31" s="29">
        <v>6000</v>
      </c>
      <c r="M31" s="29">
        <v>6000</v>
      </c>
      <c r="N31" s="29">
        <v>6000</v>
      </c>
      <c r="O31" s="10">
        <f t="shared" si="1"/>
        <v>72000</v>
      </c>
    </row>
    <row r="32" spans="1:15" x14ac:dyDescent="0.25">
      <c r="A32" s="3" t="s">
        <v>133</v>
      </c>
      <c r="B32" s="13" t="s">
        <v>119</v>
      </c>
      <c r="C32" s="29">
        <v>164100</v>
      </c>
      <c r="D32" s="29">
        <v>164720</v>
      </c>
      <c r="E32" s="29">
        <v>170013.33333333331</v>
      </c>
      <c r="F32" s="29">
        <v>170633.33333333331</v>
      </c>
      <c r="G32" s="29">
        <v>170633.33333333331</v>
      </c>
      <c r="H32" s="29">
        <v>176546.66666666669</v>
      </c>
      <c r="I32" s="29">
        <v>177166.66666666669</v>
      </c>
      <c r="J32" s="29">
        <v>177166.66666666669</v>
      </c>
      <c r="K32" s="29">
        <v>183080</v>
      </c>
      <c r="L32" s="29">
        <v>183080</v>
      </c>
      <c r="M32" s="29">
        <v>188993.33333333331</v>
      </c>
      <c r="N32" s="29">
        <v>189613.33333333331</v>
      </c>
      <c r="O32" s="21">
        <f t="shared" si="1"/>
        <v>2115746.666666667</v>
      </c>
    </row>
    <row r="33" spans="1:15" x14ac:dyDescent="0.25">
      <c r="A33" s="22" t="s">
        <v>134</v>
      </c>
      <c r="B33" s="13" t="s">
        <v>119</v>
      </c>
      <c r="C33" s="23">
        <v>-31568.5</v>
      </c>
      <c r="D33" s="23">
        <v>-26018.575000000012</v>
      </c>
      <c r="E33" s="23">
        <v>-25445.55833333332</v>
      </c>
      <c r="F33" s="23">
        <v>-19755.95833333331</v>
      </c>
      <c r="G33" s="23">
        <v>-13889.60833333331</v>
      </c>
      <c r="H33" s="23">
        <v>-13353.666666666661</v>
      </c>
      <c r="I33" s="23">
        <v>-581.51866666664137</v>
      </c>
      <c r="J33" s="23">
        <v>5832.8893333333544</v>
      </c>
      <c r="K33" s="23">
        <v>6777.2140000000363</v>
      </c>
      <c r="L33" s="23">
        <v>13191.621999999999</v>
      </c>
      <c r="M33" s="23">
        <v>14281.72866666669</v>
      </c>
      <c r="N33" s="23">
        <v>20810.9506666667</v>
      </c>
      <c r="O33" s="23">
        <f t="shared" si="1"/>
        <v>-69718.980666666466</v>
      </c>
    </row>
    <row r="34" spans="1:15" x14ac:dyDescent="0.25">
      <c r="A34" s="13" t="s">
        <v>135</v>
      </c>
      <c r="B34" s="13" t="s">
        <v>25</v>
      </c>
      <c r="C34" s="30">
        <v>-0.2163708019191227</v>
      </c>
      <c r="D34" s="30">
        <v>-0.17038456501096891</v>
      </c>
      <c r="E34" s="30">
        <v>-0.15981885082016969</v>
      </c>
      <c r="F34" s="30">
        <v>-0.1188864650719622</v>
      </c>
      <c r="G34" s="30">
        <v>-8.043320689888124E-2</v>
      </c>
      <c r="H34" s="30">
        <v>-7.4269558769002542E-2</v>
      </c>
      <c r="I34" s="30">
        <v>-2.997877409394533E-3</v>
      </c>
      <c r="J34" s="30">
        <v>2.9009304904039961E-2</v>
      </c>
      <c r="K34" s="30">
        <v>3.2487110066324133E-2</v>
      </c>
      <c r="L34" s="30">
        <v>6.1155790402827571E-2</v>
      </c>
      <c r="M34" s="30">
        <v>6.3926322938655578E-2</v>
      </c>
      <c r="N34" s="30">
        <v>8.9983805672684478E-2</v>
      </c>
      <c r="O34" s="31">
        <f>IFERROR(O33/O16,0)</f>
        <v>-3.0978949410203394E-2</v>
      </c>
    </row>
    <row r="35" spans="1:15" x14ac:dyDescent="0.25">
      <c r="A35" s="9" t="s">
        <v>136</v>
      </c>
      <c r="B35" s="13" t="s">
        <v>119</v>
      </c>
      <c r="C35" s="29">
        <v>4500</v>
      </c>
      <c r="D35" s="29">
        <v>4722.2222222222226</v>
      </c>
      <c r="E35" s="29">
        <v>4944.4444444444443</v>
      </c>
      <c r="F35" s="29">
        <v>5166.666666666667</v>
      </c>
      <c r="G35" s="29">
        <v>5388.8888888888887</v>
      </c>
      <c r="H35" s="29">
        <v>5611.1111111111113</v>
      </c>
      <c r="I35" s="29">
        <v>5833.333333333333</v>
      </c>
      <c r="J35" s="29">
        <v>6055.5555555555557</v>
      </c>
      <c r="K35" s="29">
        <v>6277.7777777777774</v>
      </c>
      <c r="L35" s="29">
        <v>6500</v>
      </c>
      <c r="M35" s="29">
        <v>6722.2222222222226</v>
      </c>
      <c r="N35" s="29">
        <v>6944.4444444444443</v>
      </c>
      <c r="O35" s="10">
        <f>SUM(C35:N35)</f>
        <v>68666.666666666657</v>
      </c>
    </row>
    <row r="36" spans="1:15" x14ac:dyDescent="0.25">
      <c r="A36" s="3" t="s">
        <v>137</v>
      </c>
      <c r="B36" s="13" t="s">
        <v>119</v>
      </c>
      <c r="C36" s="29">
        <v>-36068.5</v>
      </c>
      <c r="D36" s="29">
        <v>-30740.797222222231</v>
      </c>
      <c r="E36" s="29">
        <v>-30390.002777777769</v>
      </c>
      <c r="F36" s="29">
        <v>-24922.624999999982</v>
      </c>
      <c r="G36" s="29">
        <v>-19278.497222222199</v>
      </c>
      <c r="H36" s="29">
        <v>-18964.77777777777</v>
      </c>
      <c r="I36" s="29">
        <v>-6414.8519999999744</v>
      </c>
      <c r="J36" s="29">
        <v>-222.66622222220121</v>
      </c>
      <c r="K36" s="29">
        <v>499.43622222225889</v>
      </c>
      <c r="L36" s="29">
        <v>6691.622000000003</v>
      </c>
      <c r="M36" s="29">
        <v>7559.5064444444688</v>
      </c>
      <c r="N36" s="29">
        <v>13866.50622222226</v>
      </c>
      <c r="O36" s="21">
        <f>SUM(C36:N36)</f>
        <v>-138385.64733333318</v>
      </c>
    </row>
    <row r="37" spans="1:15" x14ac:dyDescent="0.25">
      <c r="A37" s="9" t="s">
        <v>138</v>
      </c>
      <c r="B37" s="13" t="s">
        <v>119</v>
      </c>
      <c r="C37" s="29">
        <v>0</v>
      </c>
      <c r="D37" s="29">
        <v>0</v>
      </c>
      <c r="E37" s="29">
        <v>0</v>
      </c>
      <c r="F37" s="29">
        <v>0</v>
      </c>
      <c r="G37" s="29">
        <v>0</v>
      </c>
      <c r="H37" s="29">
        <v>0</v>
      </c>
      <c r="I37" s="29">
        <v>0</v>
      </c>
      <c r="J37" s="29">
        <v>0</v>
      </c>
      <c r="K37" s="29">
        <v>124.85905555556469</v>
      </c>
      <c r="L37" s="29">
        <v>1672.905500000001</v>
      </c>
      <c r="M37" s="29">
        <v>1889.876611111117</v>
      </c>
      <c r="N37" s="29">
        <v>3466.6265555555642</v>
      </c>
      <c r="O37" s="10">
        <f>SUM(C37:N37)</f>
        <v>7154.2677222222464</v>
      </c>
    </row>
    <row r="38" spans="1:15" x14ac:dyDescent="0.25">
      <c r="A38" s="22" t="s">
        <v>139</v>
      </c>
      <c r="B38" s="13" t="s">
        <v>119</v>
      </c>
      <c r="C38" s="23">
        <v>-36068.5</v>
      </c>
      <c r="D38" s="23">
        <v>-30740.797222222231</v>
      </c>
      <c r="E38" s="23">
        <v>-30390.002777777769</v>
      </c>
      <c r="F38" s="23">
        <v>-24922.624999999982</v>
      </c>
      <c r="G38" s="23">
        <v>-19278.497222222199</v>
      </c>
      <c r="H38" s="23">
        <v>-18964.77777777777</v>
      </c>
      <c r="I38" s="23">
        <v>-6414.8519999999744</v>
      </c>
      <c r="J38" s="23">
        <v>-222.66622222220121</v>
      </c>
      <c r="K38" s="23">
        <v>374.57716666669421</v>
      </c>
      <c r="L38" s="23">
        <v>5018.7165000000023</v>
      </c>
      <c r="M38" s="23">
        <v>5669.6298333333516</v>
      </c>
      <c r="N38" s="23">
        <v>10399.879666666689</v>
      </c>
      <c r="O38" s="23">
        <f>SUM(C38:N38)</f>
        <v>-145539.91505555547</v>
      </c>
    </row>
    <row r="39" spans="1:15" x14ac:dyDescent="0.25">
      <c r="A39" s="41" t="s">
        <v>140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</row>
    <row r="40" spans="1:15" x14ac:dyDescent="0.25">
      <c r="A40" s="9" t="s">
        <v>141</v>
      </c>
      <c r="B40" s="13" t="s">
        <v>119</v>
      </c>
      <c r="C40" s="29">
        <v>140720</v>
      </c>
      <c r="D40" s="29">
        <v>151344</v>
      </c>
      <c r="E40" s="29">
        <v>157913</v>
      </c>
      <c r="F40" s="29">
        <v>164783</v>
      </c>
      <c r="G40" s="29">
        <v>171383</v>
      </c>
      <c r="H40" s="29">
        <v>178377</v>
      </c>
      <c r="I40" s="29">
        <v>191141.44</v>
      </c>
      <c r="J40" s="29">
        <v>199651.04</v>
      </c>
      <c r="K40" s="29">
        <v>207103.84</v>
      </c>
      <c r="L40" s="29">
        <v>214286.64</v>
      </c>
      <c r="M40" s="29">
        <v>221868.4</v>
      </c>
      <c r="N40" s="29">
        <v>229701.36</v>
      </c>
      <c r="O40" s="10">
        <f t="shared" ref="O40:O45" si="2">SUM(C40:N40)</f>
        <v>2228272.7199999997</v>
      </c>
    </row>
    <row r="41" spans="1:15" x14ac:dyDescent="0.25">
      <c r="A41" s="9" t="s">
        <v>142</v>
      </c>
      <c r="B41" s="13" t="s">
        <v>119</v>
      </c>
      <c r="C41" s="29">
        <v>13368.5</v>
      </c>
      <c r="D41" s="29">
        <v>14003.575000000001</v>
      </c>
      <c r="E41" s="29">
        <v>14647.225</v>
      </c>
      <c r="F41" s="29">
        <v>15297.625</v>
      </c>
      <c r="G41" s="29">
        <v>15941.275</v>
      </c>
      <c r="H41" s="29">
        <v>16607</v>
      </c>
      <c r="I41" s="29">
        <v>17391.651999999998</v>
      </c>
      <c r="J41" s="29">
        <v>18070.044000000002</v>
      </c>
      <c r="K41" s="29">
        <v>18755.186000000002</v>
      </c>
      <c r="L41" s="29">
        <v>19433.578000000001</v>
      </c>
      <c r="M41" s="29">
        <v>20134.137999999999</v>
      </c>
      <c r="N41" s="29">
        <v>20850.116000000002</v>
      </c>
      <c r="O41" s="10">
        <f t="shared" si="2"/>
        <v>204499.91400000002</v>
      </c>
    </row>
    <row r="42" spans="1:15" x14ac:dyDescent="0.25">
      <c r="A42" s="9" t="s">
        <v>143</v>
      </c>
      <c r="B42" s="13" t="s">
        <v>119</v>
      </c>
      <c r="C42" s="29">
        <v>164100</v>
      </c>
      <c r="D42" s="29">
        <v>164720</v>
      </c>
      <c r="E42" s="29">
        <v>170013.33333333331</v>
      </c>
      <c r="F42" s="29">
        <v>170633.33333333331</v>
      </c>
      <c r="G42" s="29">
        <v>170633.33333333331</v>
      </c>
      <c r="H42" s="29">
        <v>176546.66666666669</v>
      </c>
      <c r="I42" s="29">
        <v>177166.66666666669</v>
      </c>
      <c r="J42" s="29">
        <v>177166.66666666669</v>
      </c>
      <c r="K42" s="29">
        <v>183080</v>
      </c>
      <c r="L42" s="29">
        <v>183080</v>
      </c>
      <c r="M42" s="29">
        <v>188993.33333333331</v>
      </c>
      <c r="N42" s="29">
        <v>189613.33333333331</v>
      </c>
      <c r="O42" s="10">
        <f t="shared" si="2"/>
        <v>2115746.666666667</v>
      </c>
    </row>
    <row r="43" spans="1:15" x14ac:dyDescent="0.25">
      <c r="A43" s="9" t="s">
        <v>144</v>
      </c>
      <c r="B43" s="13" t="s">
        <v>119</v>
      </c>
      <c r="C43" s="29">
        <v>9000</v>
      </c>
      <c r="D43" s="29">
        <v>0</v>
      </c>
      <c r="E43" s="29">
        <v>0</v>
      </c>
      <c r="F43" s="29">
        <v>0</v>
      </c>
      <c r="G43" s="29">
        <v>0</v>
      </c>
      <c r="H43" s="29">
        <v>0</v>
      </c>
      <c r="I43" s="29">
        <v>0</v>
      </c>
      <c r="J43" s="29">
        <v>0</v>
      </c>
      <c r="K43" s="29">
        <v>0</v>
      </c>
      <c r="L43" s="29">
        <v>124.85905555556469</v>
      </c>
      <c r="M43" s="29">
        <v>1672.905500000001</v>
      </c>
      <c r="N43" s="29">
        <v>1889.876611111117</v>
      </c>
      <c r="O43" s="10">
        <f t="shared" si="2"/>
        <v>12687.641166666681</v>
      </c>
    </row>
    <row r="44" spans="1:15" x14ac:dyDescent="0.25">
      <c r="A44" s="9" t="s">
        <v>63</v>
      </c>
      <c r="B44" s="13" t="s">
        <v>119</v>
      </c>
      <c r="C44" s="29">
        <v>8000</v>
      </c>
      <c r="D44" s="29">
        <v>8000</v>
      </c>
      <c r="E44" s="29">
        <v>8000</v>
      </c>
      <c r="F44" s="29">
        <v>8000</v>
      </c>
      <c r="G44" s="29">
        <v>8000</v>
      </c>
      <c r="H44" s="29">
        <v>8000</v>
      </c>
      <c r="I44" s="29">
        <v>8000</v>
      </c>
      <c r="J44" s="29">
        <v>8000</v>
      </c>
      <c r="K44" s="29">
        <v>8000</v>
      </c>
      <c r="L44" s="29">
        <v>8000</v>
      </c>
      <c r="M44" s="29">
        <v>8000</v>
      </c>
      <c r="N44" s="29">
        <v>8000</v>
      </c>
      <c r="O44" s="10">
        <f t="shared" si="2"/>
        <v>96000</v>
      </c>
    </row>
    <row r="45" spans="1:15" x14ac:dyDescent="0.25">
      <c r="A45" s="3" t="s">
        <v>145</v>
      </c>
      <c r="B45" s="13" t="s">
        <v>119</v>
      </c>
      <c r="C45" s="29">
        <v>-53748.5</v>
      </c>
      <c r="D45" s="29">
        <v>-35379.575000000012</v>
      </c>
      <c r="E45" s="29">
        <v>-34747.55833333332</v>
      </c>
      <c r="F45" s="29">
        <v>-29147.95833333331</v>
      </c>
      <c r="G45" s="29">
        <v>-23191.608333333312</v>
      </c>
      <c r="H45" s="29">
        <v>-22776.666666666661</v>
      </c>
      <c r="I45" s="29">
        <v>-11416.878666666629</v>
      </c>
      <c r="J45" s="29">
        <v>-3585.6706666666428</v>
      </c>
      <c r="K45" s="29">
        <v>-2731.3459999999609</v>
      </c>
      <c r="L45" s="29">
        <v>3648.202944444442</v>
      </c>
      <c r="M45" s="29">
        <v>3068.0231666667019</v>
      </c>
      <c r="N45" s="29">
        <v>9348.034055555574</v>
      </c>
      <c r="O45" s="21">
        <f t="shared" si="2"/>
        <v>-200661.50183333311</v>
      </c>
    </row>
    <row r="46" spans="1:15" x14ac:dyDescent="0.25">
      <c r="A46" s="9" t="s">
        <v>146</v>
      </c>
      <c r="B46" s="13" t="s">
        <v>119</v>
      </c>
      <c r="C46" s="29">
        <v>620000</v>
      </c>
      <c r="D46" s="29">
        <v>566251.5</v>
      </c>
      <c r="E46" s="29">
        <v>530871.92500000005</v>
      </c>
      <c r="F46" s="29">
        <v>496124.3666666667</v>
      </c>
      <c r="G46" s="29">
        <v>466976.40833333338</v>
      </c>
      <c r="H46" s="29">
        <v>443784.8</v>
      </c>
      <c r="I46" s="29">
        <v>421008.13333333342</v>
      </c>
      <c r="J46" s="29">
        <v>409591.25466666679</v>
      </c>
      <c r="K46" s="29">
        <v>406005.58400000009</v>
      </c>
      <c r="L46" s="29">
        <v>403274.23800000019</v>
      </c>
      <c r="M46" s="29">
        <v>406922.44094444462</v>
      </c>
      <c r="N46" s="29">
        <v>409990.4641111113</v>
      </c>
      <c r="O46" s="10">
        <f>C46</f>
        <v>620000</v>
      </c>
    </row>
    <row r="47" spans="1:15" x14ac:dyDescent="0.25">
      <c r="A47" s="22" t="s">
        <v>147</v>
      </c>
      <c r="B47" s="13" t="s">
        <v>119</v>
      </c>
      <c r="C47" s="23">
        <v>566251.5</v>
      </c>
      <c r="D47" s="23">
        <v>530871.92500000005</v>
      </c>
      <c r="E47" s="23">
        <v>496124.3666666667</v>
      </c>
      <c r="F47" s="23">
        <v>466976.40833333338</v>
      </c>
      <c r="G47" s="23">
        <v>443784.8</v>
      </c>
      <c r="H47" s="23">
        <v>421008.13333333342</v>
      </c>
      <c r="I47" s="23">
        <v>409591.25466666679</v>
      </c>
      <c r="J47" s="23">
        <v>406005.58400000009</v>
      </c>
      <c r="K47" s="23">
        <v>403274.23800000019</v>
      </c>
      <c r="L47" s="23">
        <v>406922.44094444462</v>
      </c>
      <c r="M47" s="23">
        <v>409990.4641111113</v>
      </c>
      <c r="N47" s="23">
        <v>419338.49816666689</v>
      </c>
      <c r="O47" s="23">
        <f>N47</f>
        <v>419338.49816666689</v>
      </c>
    </row>
    <row r="48" spans="1:15" x14ac:dyDescent="0.25">
      <c r="A48" s="41" t="s">
        <v>148</v>
      </c>
      <c r="B48" s="41"/>
      <c r="C48" s="41"/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</row>
    <row r="49" spans="1:15" x14ac:dyDescent="0.25">
      <c r="A49" s="9" t="s">
        <v>149</v>
      </c>
      <c r="B49" s="13" t="s">
        <v>119</v>
      </c>
      <c r="C49" s="29">
        <v>136400</v>
      </c>
      <c r="D49" s="29">
        <v>142910</v>
      </c>
      <c r="E49" s="29">
        <v>149420</v>
      </c>
      <c r="F49" s="29">
        <v>155930</v>
      </c>
      <c r="G49" s="29">
        <v>162440</v>
      </c>
      <c r="H49" s="29">
        <v>169260</v>
      </c>
      <c r="I49" s="29">
        <v>183123.20000000001</v>
      </c>
      <c r="J49" s="29">
        <v>190216</v>
      </c>
      <c r="K49" s="29">
        <v>197308.79999999999</v>
      </c>
      <c r="L49" s="29">
        <v>204401.6</v>
      </c>
      <c r="M49" s="29">
        <v>211816.8</v>
      </c>
      <c r="N49" s="29">
        <v>219232</v>
      </c>
      <c r="O49" s="10">
        <f>N49</f>
        <v>219232</v>
      </c>
    </row>
    <row r="50" spans="1:15" x14ac:dyDescent="0.25">
      <c r="A50" s="9" t="s">
        <v>150</v>
      </c>
      <c r="B50" s="13" t="s">
        <v>119</v>
      </c>
      <c r="C50" s="29">
        <v>1636800</v>
      </c>
      <c r="D50" s="29">
        <v>1714920</v>
      </c>
      <c r="E50" s="29">
        <v>1793040</v>
      </c>
      <c r="F50" s="29">
        <v>1871160</v>
      </c>
      <c r="G50" s="29">
        <v>1949280</v>
      </c>
      <c r="H50" s="29">
        <v>2031120</v>
      </c>
      <c r="I50" s="29">
        <v>2197478.3999999999</v>
      </c>
      <c r="J50" s="29">
        <v>2282592</v>
      </c>
      <c r="K50" s="29">
        <v>2367705.6</v>
      </c>
      <c r="L50" s="29">
        <v>2452819.2000000002</v>
      </c>
      <c r="M50" s="29">
        <v>2541801.6</v>
      </c>
      <c r="N50" s="29">
        <v>2630784</v>
      </c>
      <c r="O50" s="10">
        <f>N50</f>
        <v>2630784</v>
      </c>
    </row>
  </sheetData>
  <mergeCells count="4">
    <mergeCell ref="A5:O5"/>
    <mergeCell ref="A13:O13"/>
    <mergeCell ref="A39:O39"/>
    <mergeCell ref="A48:O48"/>
  </mergeCells>
  <pageMargins left="0.7" right="0.7" top="0.75" bottom="0.75" header="0.3" footer="0.3"/>
  <pageSetup paperSize="9" fitToHeight="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2F5D8A"/>
    <pageSetUpPr fitToPage="1"/>
  </sheetPr>
  <dimension ref="A1:O58"/>
  <sheetViews>
    <sheetView showGridLines="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 x14ac:dyDescent="0.25"/>
  <cols>
    <col min="1" max="1" width="36.7109375" customWidth="1"/>
    <col min="2" max="2" width="11.7109375" customWidth="1"/>
    <col min="3" max="15" width="12.28515625" customWidth="1"/>
  </cols>
  <sheetData>
    <row r="1" spans="1:15" ht="23.25" x14ac:dyDescent="0.25">
      <c r="A1" s="1" t="s">
        <v>103</v>
      </c>
    </row>
    <row r="2" spans="1:15" x14ac:dyDescent="0.25">
      <c r="A2" s="2" t="s">
        <v>104</v>
      </c>
    </row>
    <row r="4" spans="1:15" x14ac:dyDescent="0.25">
      <c r="A4" s="7" t="s">
        <v>105</v>
      </c>
      <c r="B4" s="8" t="s">
        <v>3</v>
      </c>
      <c r="C4" s="8" t="s">
        <v>82</v>
      </c>
      <c r="D4" s="8" t="s">
        <v>83</v>
      </c>
      <c r="E4" s="8" t="s">
        <v>84</v>
      </c>
      <c r="F4" s="8" t="s">
        <v>85</v>
      </c>
      <c r="G4" s="8" t="s">
        <v>86</v>
      </c>
      <c r="H4" s="8" t="s">
        <v>87</v>
      </c>
      <c r="I4" s="8" t="s">
        <v>88</v>
      </c>
      <c r="J4" s="8" t="s">
        <v>89</v>
      </c>
      <c r="K4" s="8" t="s">
        <v>90</v>
      </c>
      <c r="L4" s="8" t="s">
        <v>91</v>
      </c>
      <c r="M4" s="8" t="s">
        <v>92</v>
      </c>
      <c r="N4" s="8" t="s">
        <v>93</v>
      </c>
      <c r="O4" s="8" t="s">
        <v>106</v>
      </c>
    </row>
    <row r="5" spans="1:15" x14ac:dyDescent="0.25">
      <c r="A5" s="41" t="s">
        <v>107</v>
      </c>
      <c r="B5" s="41"/>
      <c r="C5" s="41"/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</row>
    <row r="6" spans="1:15" x14ac:dyDescent="0.25">
      <c r="A6" s="13" t="s">
        <v>108</v>
      </c>
      <c r="B6" s="13" t="s">
        <v>109</v>
      </c>
      <c r="C6" s="24">
        <v>1</v>
      </c>
      <c r="D6" s="24">
        <v>2</v>
      </c>
      <c r="E6" s="24">
        <v>3</v>
      </c>
      <c r="F6" s="24">
        <v>4</v>
      </c>
      <c r="G6" s="24">
        <v>5</v>
      </c>
      <c r="H6" s="24">
        <v>6</v>
      </c>
      <c r="I6" s="24">
        <v>7</v>
      </c>
      <c r="J6" s="24">
        <v>8</v>
      </c>
      <c r="K6" s="24">
        <v>9</v>
      </c>
      <c r="L6" s="24">
        <v>10</v>
      </c>
      <c r="M6" s="24">
        <v>11</v>
      </c>
      <c r="N6" s="24">
        <v>12</v>
      </c>
    </row>
    <row r="7" spans="1:15" x14ac:dyDescent="0.25">
      <c r="A7" s="9" t="s">
        <v>110</v>
      </c>
      <c r="B7" s="13" t="s">
        <v>11</v>
      </c>
      <c r="C7" s="12">
        <f>Assumptions!$C$6</f>
        <v>420</v>
      </c>
      <c r="D7" s="12">
        <f t="shared" ref="D7:N7" si="0">C10</f>
        <v>440</v>
      </c>
      <c r="E7" s="12">
        <f t="shared" si="0"/>
        <v>461</v>
      </c>
      <c r="F7" s="12">
        <f t="shared" si="0"/>
        <v>482</v>
      </c>
      <c r="G7" s="12">
        <f t="shared" si="0"/>
        <v>503</v>
      </c>
      <c r="H7" s="12">
        <f t="shared" si="0"/>
        <v>524</v>
      </c>
      <c r="I7" s="12">
        <f t="shared" si="0"/>
        <v>546</v>
      </c>
      <c r="J7" s="12">
        <f t="shared" si="0"/>
        <v>568</v>
      </c>
      <c r="K7" s="12">
        <f t="shared" si="0"/>
        <v>590</v>
      </c>
      <c r="L7" s="12">
        <f t="shared" si="0"/>
        <v>612</v>
      </c>
      <c r="M7" s="12">
        <f t="shared" si="0"/>
        <v>634</v>
      </c>
      <c r="N7" s="12">
        <f t="shared" si="0"/>
        <v>657</v>
      </c>
      <c r="O7" s="12">
        <f>C7</f>
        <v>420</v>
      </c>
    </row>
    <row r="8" spans="1:15" x14ac:dyDescent="0.25">
      <c r="A8" s="9" t="s">
        <v>111</v>
      </c>
      <c r="B8" s="13" t="s">
        <v>11</v>
      </c>
      <c r="C8" s="12">
        <f>ROUND(Assumptions!$C$7*(1+Assumptions!$C$8)^(C6-1),0)</f>
        <v>28</v>
      </c>
      <c r="D8" s="12">
        <f>ROUND(Assumptions!$C$7*(1+Assumptions!$C$8)^(D6-1),0)</f>
        <v>29</v>
      </c>
      <c r="E8" s="12">
        <f>ROUND(Assumptions!$C$7*(1+Assumptions!$C$8)^(E6-1),0)</f>
        <v>29</v>
      </c>
      <c r="F8" s="12">
        <f>ROUND(Assumptions!$C$7*(1+Assumptions!$C$8)^(F6-1),0)</f>
        <v>30</v>
      </c>
      <c r="G8" s="12">
        <f>ROUND(Assumptions!$C$7*(1+Assumptions!$C$8)^(G6-1),0)</f>
        <v>30</v>
      </c>
      <c r="H8" s="12">
        <f>ROUND(Assumptions!$C$7*(1+Assumptions!$C$8)^(H6-1),0)</f>
        <v>31</v>
      </c>
      <c r="I8" s="12">
        <f>ROUND(Assumptions!$C$7*(1+Assumptions!$C$8)^(I6-1),0)</f>
        <v>32</v>
      </c>
      <c r="J8" s="12">
        <f>ROUND(Assumptions!$C$7*(1+Assumptions!$C$8)^(J6-1),0)</f>
        <v>32</v>
      </c>
      <c r="K8" s="12">
        <f>ROUND(Assumptions!$C$7*(1+Assumptions!$C$8)^(K6-1),0)</f>
        <v>33</v>
      </c>
      <c r="L8" s="12">
        <f>ROUND(Assumptions!$C$7*(1+Assumptions!$C$8)^(L6-1),0)</f>
        <v>33</v>
      </c>
      <c r="M8" s="12">
        <f>ROUND(Assumptions!$C$7*(1+Assumptions!$C$8)^(M6-1),0)</f>
        <v>34</v>
      </c>
      <c r="N8" s="12">
        <f>ROUND(Assumptions!$C$7*(1+Assumptions!$C$8)^(N6-1),0)</f>
        <v>35</v>
      </c>
      <c r="O8" s="12">
        <f>SUM(C8:N8)</f>
        <v>376</v>
      </c>
    </row>
    <row r="9" spans="1:15" x14ac:dyDescent="0.25">
      <c r="A9" s="9" t="s">
        <v>112</v>
      </c>
      <c r="B9" s="13" t="s">
        <v>11</v>
      </c>
      <c r="C9" s="12">
        <f>ROUND(C7*Assumptions!$C$9,0)</f>
        <v>8</v>
      </c>
      <c r="D9" s="12">
        <f>ROUND(D7*Assumptions!$C$9,0)</f>
        <v>8</v>
      </c>
      <c r="E9" s="12">
        <f>ROUND(E7*Assumptions!$C$9,0)</f>
        <v>8</v>
      </c>
      <c r="F9" s="12">
        <f>ROUND(F7*Assumptions!$C$9,0)</f>
        <v>9</v>
      </c>
      <c r="G9" s="12">
        <f>ROUND(G7*Assumptions!$C$9,0)</f>
        <v>9</v>
      </c>
      <c r="H9" s="12">
        <f>ROUND(H7*Assumptions!$C$9,0)</f>
        <v>9</v>
      </c>
      <c r="I9" s="12">
        <f>ROUND(I7*Assumptions!$C$9,0)</f>
        <v>10</v>
      </c>
      <c r="J9" s="12">
        <f>ROUND(J7*Assumptions!$C$9,0)</f>
        <v>10</v>
      </c>
      <c r="K9" s="12">
        <f>ROUND(K7*Assumptions!$C$9,0)</f>
        <v>11</v>
      </c>
      <c r="L9" s="12">
        <f>ROUND(L7*Assumptions!$C$9,0)</f>
        <v>11</v>
      </c>
      <c r="M9" s="12">
        <f>ROUND(M7*Assumptions!$C$9,0)</f>
        <v>11</v>
      </c>
      <c r="N9" s="12">
        <f>ROUND(N7*Assumptions!$C$9,0)</f>
        <v>12</v>
      </c>
      <c r="O9" s="12">
        <f>SUM(C9:N9)</f>
        <v>116</v>
      </c>
    </row>
    <row r="10" spans="1:15" x14ac:dyDescent="0.25">
      <c r="A10" s="3" t="s">
        <v>113</v>
      </c>
      <c r="B10" s="13" t="s">
        <v>11</v>
      </c>
      <c r="C10" s="17">
        <f t="shared" ref="C10:N10" si="1">C7+C8-C9</f>
        <v>440</v>
      </c>
      <c r="D10" s="17">
        <f t="shared" si="1"/>
        <v>461</v>
      </c>
      <c r="E10" s="17">
        <f t="shared" si="1"/>
        <v>482</v>
      </c>
      <c r="F10" s="17">
        <f t="shared" si="1"/>
        <v>503</v>
      </c>
      <c r="G10" s="17">
        <f t="shared" si="1"/>
        <v>524</v>
      </c>
      <c r="H10" s="17">
        <f t="shared" si="1"/>
        <v>546</v>
      </c>
      <c r="I10" s="17">
        <f t="shared" si="1"/>
        <v>568</v>
      </c>
      <c r="J10" s="17">
        <f t="shared" si="1"/>
        <v>590</v>
      </c>
      <c r="K10" s="17">
        <f t="shared" si="1"/>
        <v>612</v>
      </c>
      <c r="L10" s="17">
        <f t="shared" si="1"/>
        <v>634</v>
      </c>
      <c r="M10" s="17">
        <f t="shared" si="1"/>
        <v>657</v>
      </c>
      <c r="N10" s="17">
        <f t="shared" si="1"/>
        <v>680</v>
      </c>
      <c r="O10" s="17">
        <f>N10</f>
        <v>680</v>
      </c>
    </row>
    <row r="11" spans="1:15" x14ac:dyDescent="0.25">
      <c r="A11" s="9" t="s">
        <v>114</v>
      </c>
      <c r="B11" s="13" t="s">
        <v>11</v>
      </c>
      <c r="C11" s="14">
        <f t="shared" ref="C11:N11" si="2">(C7+C10)/2</f>
        <v>430</v>
      </c>
      <c r="D11" s="14">
        <f t="shared" si="2"/>
        <v>450.5</v>
      </c>
      <c r="E11" s="14">
        <f t="shared" si="2"/>
        <v>471.5</v>
      </c>
      <c r="F11" s="14">
        <f t="shared" si="2"/>
        <v>492.5</v>
      </c>
      <c r="G11" s="14">
        <f t="shared" si="2"/>
        <v>513.5</v>
      </c>
      <c r="H11" s="14">
        <f t="shared" si="2"/>
        <v>535</v>
      </c>
      <c r="I11" s="14">
        <f t="shared" si="2"/>
        <v>557</v>
      </c>
      <c r="J11" s="14">
        <f t="shared" si="2"/>
        <v>579</v>
      </c>
      <c r="K11" s="14">
        <f t="shared" si="2"/>
        <v>601</v>
      </c>
      <c r="L11" s="14">
        <f t="shared" si="2"/>
        <v>623</v>
      </c>
      <c r="M11" s="14">
        <f t="shared" si="2"/>
        <v>645.5</v>
      </c>
      <c r="N11" s="14">
        <f t="shared" si="2"/>
        <v>668.5</v>
      </c>
      <c r="O11" s="14">
        <f>AVERAGE(C11:N11)</f>
        <v>547.25</v>
      </c>
    </row>
    <row r="12" spans="1:15" x14ac:dyDescent="0.25">
      <c r="A12" s="9" t="s">
        <v>115</v>
      </c>
      <c r="B12" s="13" t="s">
        <v>116</v>
      </c>
      <c r="C12" s="28">
        <f>Assumptions!$C$10*IF(C6&gt;=Assumptions!$C$12,1+Assumptions!$C$11,1)</f>
        <v>310</v>
      </c>
      <c r="D12" s="28">
        <f>Assumptions!$C$10*IF(D6&gt;=Assumptions!$C$12,1+Assumptions!$C$11,1)</f>
        <v>310</v>
      </c>
      <c r="E12" s="28">
        <f>Assumptions!$C$10*IF(E6&gt;=Assumptions!$C$12,1+Assumptions!$C$11,1)</f>
        <v>310</v>
      </c>
      <c r="F12" s="28">
        <f>Assumptions!$C$10*IF(F6&gt;=Assumptions!$C$12,1+Assumptions!$C$11,1)</f>
        <v>310</v>
      </c>
      <c r="G12" s="28">
        <f>Assumptions!$C$10*IF(G6&gt;=Assumptions!$C$12,1+Assumptions!$C$11,1)</f>
        <v>310</v>
      </c>
      <c r="H12" s="28">
        <f>Assumptions!$C$10*IF(H6&gt;=Assumptions!$C$12,1+Assumptions!$C$11,1)</f>
        <v>310</v>
      </c>
      <c r="I12" s="28">
        <f>Assumptions!$C$10*IF(I6&gt;=Assumptions!$C$12,1+Assumptions!$C$11,1)</f>
        <v>322.40000000000003</v>
      </c>
      <c r="J12" s="28">
        <f>Assumptions!$C$10*IF(J6&gt;=Assumptions!$C$12,1+Assumptions!$C$11,1)</f>
        <v>322.40000000000003</v>
      </c>
      <c r="K12" s="28">
        <f>Assumptions!$C$10*IF(K6&gt;=Assumptions!$C$12,1+Assumptions!$C$11,1)</f>
        <v>322.40000000000003</v>
      </c>
      <c r="L12" s="28">
        <f>Assumptions!$C$10*IF(L6&gt;=Assumptions!$C$12,1+Assumptions!$C$11,1)</f>
        <v>322.40000000000003</v>
      </c>
      <c r="M12" s="28">
        <f>Assumptions!$C$10*IF(M6&gt;=Assumptions!$C$12,1+Assumptions!$C$11,1)</f>
        <v>322.40000000000003</v>
      </c>
      <c r="N12" s="28">
        <f>Assumptions!$C$10*IF(N6&gt;=Assumptions!$C$12,1+Assumptions!$C$11,1)</f>
        <v>322.40000000000003</v>
      </c>
      <c r="O12" s="28">
        <f>AVERAGE(C12:N12)</f>
        <v>316.20000000000005</v>
      </c>
    </row>
    <row r="13" spans="1:15" x14ac:dyDescent="0.25">
      <c r="A13" s="41" t="s">
        <v>117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</row>
    <row r="14" spans="1:15" x14ac:dyDescent="0.25">
      <c r="A14" s="9" t="s">
        <v>118</v>
      </c>
      <c r="B14" s="13" t="s">
        <v>119</v>
      </c>
      <c r="C14" s="10">
        <f t="shared" ref="C14:N14" si="3">C11*C12</f>
        <v>133300</v>
      </c>
      <c r="D14" s="10">
        <f t="shared" si="3"/>
        <v>139655</v>
      </c>
      <c r="E14" s="10">
        <f t="shared" si="3"/>
        <v>146165</v>
      </c>
      <c r="F14" s="10">
        <f t="shared" si="3"/>
        <v>152675</v>
      </c>
      <c r="G14" s="10">
        <f t="shared" si="3"/>
        <v>159185</v>
      </c>
      <c r="H14" s="10">
        <f t="shared" si="3"/>
        <v>165850</v>
      </c>
      <c r="I14" s="10">
        <f t="shared" si="3"/>
        <v>179576.80000000002</v>
      </c>
      <c r="J14" s="10">
        <f t="shared" si="3"/>
        <v>186669.6</v>
      </c>
      <c r="K14" s="10">
        <f t="shared" si="3"/>
        <v>193762.40000000002</v>
      </c>
      <c r="L14" s="10">
        <f t="shared" si="3"/>
        <v>200855.2</v>
      </c>
      <c r="M14" s="10">
        <f t="shared" si="3"/>
        <v>208109.2</v>
      </c>
      <c r="N14" s="10">
        <f t="shared" si="3"/>
        <v>215524.40000000002</v>
      </c>
      <c r="O14" s="10">
        <f t="shared" ref="O14:O21" si="4">SUM(C14:N14)</f>
        <v>2081327.6</v>
      </c>
    </row>
    <row r="15" spans="1:15" x14ac:dyDescent="0.25">
      <c r="A15" s="9" t="s">
        <v>120</v>
      </c>
      <c r="B15" s="13" t="s">
        <v>119</v>
      </c>
      <c r="C15" s="10">
        <f>C8*Assumptions!$C$13</f>
        <v>12600</v>
      </c>
      <c r="D15" s="10">
        <f>D8*Assumptions!$C$13</f>
        <v>13050</v>
      </c>
      <c r="E15" s="10">
        <f>E8*Assumptions!$C$13</f>
        <v>13050</v>
      </c>
      <c r="F15" s="10">
        <f>F8*Assumptions!$C$13</f>
        <v>13500</v>
      </c>
      <c r="G15" s="10">
        <f>G8*Assumptions!$C$13</f>
        <v>13500</v>
      </c>
      <c r="H15" s="10">
        <f>H8*Assumptions!$C$13</f>
        <v>13950</v>
      </c>
      <c r="I15" s="10">
        <f>I8*Assumptions!$C$13</f>
        <v>14400</v>
      </c>
      <c r="J15" s="10">
        <f>J8*Assumptions!$C$13</f>
        <v>14400</v>
      </c>
      <c r="K15" s="10">
        <f>K8*Assumptions!$C$13</f>
        <v>14850</v>
      </c>
      <c r="L15" s="10">
        <f>L8*Assumptions!$C$13</f>
        <v>14850</v>
      </c>
      <c r="M15" s="10">
        <f>M8*Assumptions!$C$13</f>
        <v>15300</v>
      </c>
      <c r="N15" s="10">
        <f>N8*Assumptions!$C$13</f>
        <v>15750</v>
      </c>
      <c r="O15" s="10">
        <f t="shared" si="4"/>
        <v>169200</v>
      </c>
    </row>
    <row r="16" spans="1:15" x14ac:dyDescent="0.25">
      <c r="A16" s="3" t="s">
        <v>121</v>
      </c>
      <c r="B16" s="13" t="s">
        <v>119</v>
      </c>
      <c r="C16" s="21">
        <f t="shared" ref="C16:N16" si="5">C14+C15</f>
        <v>145900</v>
      </c>
      <c r="D16" s="21">
        <f t="shared" si="5"/>
        <v>152705</v>
      </c>
      <c r="E16" s="21">
        <f t="shared" si="5"/>
        <v>159215</v>
      </c>
      <c r="F16" s="21">
        <f t="shared" si="5"/>
        <v>166175</v>
      </c>
      <c r="G16" s="21">
        <f t="shared" si="5"/>
        <v>172685</v>
      </c>
      <c r="H16" s="21">
        <f t="shared" si="5"/>
        <v>179800</v>
      </c>
      <c r="I16" s="21">
        <f t="shared" si="5"/>
        <v>193976.80000000002</v>
      </c>
      <c r="J16" s="21">
        <f t="shared" si="5"/>
        <v>201069.6</v>
      </c>
      <c r="K16" s="21">
        <f t="shared" si="5"/>
        <v>208612.40000000002</v>
      </c>
      <c r="L16" s="21">
        <f t="shared" si="5"/>
        <v>215705.2</v>
      </c>
      <c r="M16" s="21">
        <f t="shared" si="5"/>
        <v>223409.2</v>
      </c>
      <c r="N16" s="21">
        <f t="shared" si="5"/>
        <v>231274.40000000002</v>
      </c>
      <c r="O16" s="21">
        <f t="shared" si="4"/>
        <v>2250527.6</v>
      </c>
    </row>
    <row r="17" spans="1:15" x14ac:dyDescent="0.25">
      <c r="A17" s="9" t="s">
        <v>122</v>
      </c>
      <c r="B17" s="13" t="s">
        <v>119</v>
      </c>
      <c r="C17" s="10">
        <f>C11*Assumptions!$C$15</f>
        <v>6020</v>
      </c>
      <c r="D17" s="10">
        <f>D11*Assumptions!$C$15</f>
        <v>6307</v>
      </c>
      <c r="E17" s="10">
        <f>E11*Assumptions!$C$15</f>
        <v>6601</v>
      </c>
      <c r="F17" s="10">
        <f>F11*Assumptions!$C$15</f>
        <v>6895</v>
      </c>
      <c r="G17" s="10">
        <f>G11*Assumptions!$C$15</f>
        <v>7189</v>
      </c>
      <c r="H17" s="10">
        <f>H11*Assumptions!$C$15</f>
        <v>7490</v>
      </c>
      <c r="I17" s="10">
        <f>I11*Assumptions!$C$15</f>
        <v>7798</v>
      </c>
      <c r="J17" s="10">
        <f>J11*Assumptions!$C$15</f>
        <v>8106</v>
      </c>
      <c r="K17" s="10">
        <f>K11*Assumptions!$C$15</f>
        <v>8414</v>
      </c>
      <c r="L17" s="10">
        <f>L11*Assumptions!$C$15</f>
        <v>8722</v>
      </c>
      <c r="M17" s="10">
        <f>M11*Assumptions!$C$15</f>
        <v>9037</v>
      </c>
      <c r="N17" s="10">
        <f>N11*Assumptions!$C$15</f>
        <v>9359</v>
      </c>
      <c r="O17" s="10">
        <f t="shared" si="4"/>
        <v>91938</v>
      </c>
    </row>
    <row r="18" spans="1:15" x14ac:dyDescent="0.25">
      <c r="A18" s="9" t="s">
        <v>123</v>
      </c>
      <c r="B18" s="13" t="s">
        <v>119</v>
      </c>
      <c r="C18" s="10">
        <f>C11*Assumptions!$C$16</f>
        <v>5160</v>
      </c>
      <c r="D18" s="10">
        <f>D11*Assumptions!$C$16</f>
        <v>5406</v>
      </c>
      <c r="E18" s="10">
        <f>E11*Assumptions!$C$16</f>
        <v>5658</v>
      </c>
      <c r="F18" s="10">
        <f>F11*Assumptions!$C$16</f>
        <v>5910</v>
      </c>
      <c r="G18" s="10">
        <f>G11*Assumptions!$C$16</f>
        <v>6162</v>
      </c>
      <c r="H18" s="10">
        <f>H11*Assumptions!$C$16</f>
        <v>6420</v>
      </c>
      <c r="I18" s="10">
        <f>I11*Assumptions!$C$16</f>
        <v>6684</v>
      </c>
      <c r="J18" s="10">
        <f>J11*Assumptions!$C$16</f>
        <v>6948</v>
      </c>
      <c r="K18" s="10">
        <f>K11*Assumptions!$C$16</f>
        <v>7212</v>
      </c>
      <c r="L18" s="10">
        <f>L11*Assumptions!$C$16</f>
        <v>7476</v>
      </c>
      <c r="M18" s="10">
        <f>M11*Assumptions!$C$16</f>
        <v>7746</v>
      </c>
      <c r="N18" s="10">
        <f>N11*Assumptions!$C$16</f>
        <v>8022</v>
      </c>
      <c r="O18" s="10">
        <f t="shared" si="4"/>
        <v>78804</v>
      </c>
    </row>
    <row r="19" spans="1:15" x14ac:dyDescent="0.25">
      <c r="A19" s="9" t="s">
        <v>124</v>
      </c>
      <c r="B19" s="13" t="s">
        <v>119</v>
      </c>
      <c r="C19" s="10">
        <f>C16*Assumptions!$C$17</f>
        <v>2188.5</v>
      </c>
      <c r="D19" s="10">
        <f>D16*Assumptions!$C$17</f>
        <v>2290.5749999999998</v>
      </c>
      <c r="E19" s="10">
        <f>E16*Assumptions!$C$17</f>
        <v>2388.2249999999999</v>
      </c>
      <c r="F19" s="10">
        <f>F16*Assumptions!$C$17</f>
        <v>2492.625</v>
      </c>
      <c r="G19" s="10">
        <f>G16*Assumptions!$C$17</f>
        <v>2590.2750000000001</v>
      </c>
      <c r="H19" s="10">
        <f>H16*Assumptions!$C$17</f>
        <v>2697</v>
      </c>
      <c r="I19" s="10">
        <f>I16*Assumptions!$C$17</f>
        <v>2909.652</v>
      </c>
      <c r="J19" s="10">
        <f>J16*Assumptions!$C$17</f>
        <v>3016.0439999999999</v>
      </c>
      <c r="K19" s="10">
        <f>K16*Assumptions!$C$17</f>
        <v>3129.1860000000001</v>
      </c>
      <c r="L19" s="10">
        <f>L16*Assumptions!$C$17</f>
        <v>3235.578</v>
      </c>
      <c r="M19" s="10">
        <f>M16*Assumptions!$C$17</f>
        <v>3351.1379999999999</v>
      </c>
      <c r="N19" s="10">
        <f>N16*Assumptions!$C$17</f>
        <v>3469.1160000000004</v>
      </c>
      <c r="O19" s="10">
        <f t="shared" si="4"/>
        <v>33757.914000000004</v>
      </c>
    </row>
    <row r="20" spans="1:15" x14ac:dyDescent="0.25">
      <c r="A20" s="3" t="s">
        <v>125</v>
      </c>
      <c r="B20" s="13" t="s">
        <v>119</v>
      </c>
      <c r="C20" s="21">
        <f t="shared" ref="C20:N20" si="6">C17+C18+C19</f>
        <v>13368.5</v>
      </c>
      <c r="D20" s="21">
        <f t="shared" si="6"/>
        <v>14003.575000000001</v>
      </c>
      <c r="E20" s="21">
        <f t="shared" si="6"/>
        <v>14647.225</v>
      </c>
      <c r="F20" s="21">
        <f t="shared" si="6"/>
        <v>15297.625</v>
      </c>
      <c r="G20" s="21">
        <f t="shared" si="6"/>
        <v>15941.275</v>
      </c>
      <c r="H20" s="21">
        <f t="shared" si="6"/>
        <v>16607</v>
      </c>
      <c r="I20" s="21">
        <f t="shared" si="6"/>
        <v>17391.652000000002</v>
      </c>
      <c r="J20" s="21">
        <f t="shared" si="6"/>
        <v>18070.044000000002</v>
      </c>
      <c r="K20" s="21">
        <f t="shared" si="6"/>
        <v>18755.186000000002</v>
      </c>
      <c r="L20" s="21">
        <f t="shared" si="6"/>
        <v>19433.578000000001</v>
      </c>
      <c r="M20" s="21">
        <f t="shared" si="6"/>
        <v>20134.137999999999</v>
      </c>
      <c r="N20" s="21">
        <f t="shared" si="6"/>
        <v>20850.116000000002</v>
      </c>
      <c r="O20" s="21">
        <f t="shared" si="4"/>
        <v>204499.91400000002</v>
      </c>
    </row>
    <row r="21" spans="1:15" x14ac:dyDescent="0.25">
      <c r="A21" s="3" t="s">
        <v>126</v>
      </c>
      <c r="B21" s="13" t="s">
        <v>119</v>
      </c>
      <c r="C21" s="21">
        <f t="shared" ref="C21:N21" si="7">C16-C20</f>
        <v>132531.5</v>
      </c>
      <c r="D21" s="21">
        <f t="shared" si="7"/>
        <v>138701.42499999999</v>
      </c>
      <c r="E21" s="21">
        <f t="shared" si="7"/>
        <v>144567.77499999999</v>
      </c>
      <c r="F21" s="21">
        <f t="shared" si="7"/>
        <v>150877.375</v>
      </c>
      <c r="G21" s="21">
        <f t="shared" si="7"/>
        <v>156743.72500000001</v>
      </c>
      <c r="H21" s="21">
        <f t="shared" si="7"/>
        <v>163193</v>
      </c>
      <c r="I21" s="21">
        <f t="shared" si="7"/>
        <v>176585.14800000002</v>
      </c>
      <c r="J21" s="21">
        <f t="shared" si="7"/>
        <v>182999.55600000001</v>
      </c>
      <c r="K21" s="21">
        <f t="shared" si="7"/>
        <v>189857.21400000004</v>
      </c>
      <c r="L21" s="21">
        <f t="shared" si="7"/>
        <v>196271.622</v>
      </c>
      <c r="M21" s="21">
        <f t="shared" si="7"/>
        <v>203275.06200000001</v>
      </c>
      <c r="N21" s="21">
        <f t="shared" si="7"/>
        <v>210424.28400000001</v>
      </c>
      <c r="O21" s="21">
        <f t="shared" si="4"/>
        <v>2046027.6859999998</v>
      </c>
    </row>
    <row r="22" spans="1:15" x14ac:dyDescent="0.25">
      <c r="A22" s="13" t="s">
        <v>127</v>
      </c>
      <c r="B22" s="13" t="s">
        <v>25</v>
      </c>
      <c r="C22" s="31">
        <f t="shared" ref="C22:O22" si="8">IFERROR(C21/C16,0)</f>
        <v>0.90837217272104176</v>
      </c>
      <c r="D22" s="31">
        <f t="shared" si="8"/>
        <v>0.90829655217576366</v>
      </c>
      <c r="E22" s="31">
        <f t="shared" si="8"/>
        <v>0.9080034858524636</v>
      </c>
      <c r="F22" s="31">
        <f t="shared" si="8"/>
        <v>0.90794268090868058</v>
      </c>
      <c r="G22" s="31">
        <f t="shared" si="8"/>
        <v>0.90768581521267055</v>
      </c>
      <c r="H22" s="31">
        <f t="shared" si="8"/>
        <v>0.90763626251390439</v>
      </c>
      <c r="I22" s="31">
        <f t="shared" si="8"/>
        <v>0.91034158724136083</v>
      </c>
      <c r="J22" s="31">
        <f t="shared" si="8"/>
        <v>0.91013040260685851</v>
      </c>
      <c r="K22" s="31">
        <f t="shared" si="8"/>
        <v>0.91009553602758042</v>
      </c>
      <c r="L22" s="31">
        <f t="shared" si="8"/>
        <v>0.90990677090770178</v>
      </c>
      <c r="M22" s="31">
        <f t="shared" si="8"/>
        <v>0.90987775794371939</v>
      </c>
      <c r="N22" s="31">
        <f t="shared" si="8"/>
        <v>0.90984684859197551</v>
      </c>
      <c r="O22" s="31">
        <f t="shared" si="8"/>
        <v>0.90913245676258303</v>
      </c>
    </row>
    <row r="23" spans="1:15" x14ac:dyDescent="0.25">
      <c r="A23" s="13" t="s">
        <v>42</v>
      </c>
      <c r="B23" s="13" t="s">
        <v>43</v>
      </c>
      <c r="C23" s="24">
        <f>Assumptions!$C$19</f>
        <v>24</v>
      </c>
      <c r="D23" s="24">
        <f t="shared" ref="D23:N23" si="9">C25</f>
        <v>24</v>
      </c>
      <c r="E23" s="24">
        <f t="shared" si="9"/>
        <v>24</v>
      </c>
      <c r="F23" s="24">
        <f t="shared" si="9"/>
        <v>25</v>
      </c>
      <c r="G23" s="24">
        <f t="shared" si="9"/>
        <v>25</v>
      </c>
      <c r="H23" s="24">
        <f t="shared" si="9"/>
        <v>25</v>
      </c>
      <c r="I23" s="24">
        <f t="shared" si="9"/>
        <v>26</v>
      </c>
      <c r="J23" s="24">
        <f t="shared" si="9"/>
        <v>26</v>
      </c>
      <c r="K23" s="24">
        <f t="shared" si="9"/>
        <v>26</v>
      </c>
      <c r="L23" s="24">
        <f t="shared" si="9"/>
        <v>27</v>
      </c>
      <c r="M23" s="24">
        <f t="shared" si="9"/>
        <v>27</v>
      </c>
      <c r="N23" s="24">
        <f t="shared" si="9"/>
        <v>28</v>
      </c>
      <c r="O23" s="24">
        <f>C23</f>
        <v>24</v>
      </c>
    </row>
    <row r="24" spans="1:15" x14ac:dyDescent="0.25">
      <c r="A24" s="13" t="s">
        <v>128</v>
      </c>
      <c r="B24" s="13" t="s">
        <v>43</v>
      </c>
      <c r="C24" s="24">
        <f>Assumptions!C39</f>
        <v>0</v>
      </c>
      <c r="D24" s="24">
        <f>Assumptions!D39</f>
        <v>0</v>
      </c>
      <c r="E24" s="24">
        <f>Assumptions!E39</f>
        <v>1</v>
      </c>
      <c r="F24" s="24">
        <f>Assumptions!F39</f>
        <v>0</v>
      </c>
      <c r="G24" s="24">
        <f>Assumptions!G39</f>
        <v>0</v>
      </c>
      <c r="H24" s="24">
        <f>Assumptions!H39</f>
        <v>1</v>
      </c>
      <c r="I24" s="24">
        <f>Assumptions!I39</f>
        <v>0</v>
      </c>
      <c r="J24" s="24">
        <f>Assumptions!J39</f>
        <v>0</v>
      </c>
      <c r="K24" s="24">
        <f>Assumptions!K39</f>
        <v>1</v>
      </c>
      <c r="L24" s="24">
        <f>Assumptions!L39</f>
        <v>0</v>
      </c>
      <c r="M24" s="24">
        <f>Assumptions!M39</f>
        <v>1</v>
      </c>
      <c r="N24" s="24">
        <f>Assumptions!N39</f>
        <v>0</v>
      </c>
      <c r="O24" s="24">
        <f>SUM(C24:N24)</f>
        <v>4</v>
      </c>
    </row>
    <row r="25" spans="1:15" x14ac:dyDescent="0.25">
      <c r="A25" s="13" t="s">
        <v>129</v>
      </c>
      <c r="B25" s="13" t="s">
        <v>43</v>
      </c>
      <c r="C25" s="24">
        <f t="shared" ref="C25:N25" si="10">C23+C24</f>
        <v>24</v>
      </c>
      <c r="D25" s="24">
        <f t="shared" si="10"/>
        <v>24</v>
      </c>
      <c r="E25" s="24">
        <f t="shared" si="10"/>
        <v>25</v>
      </c>
      <c r="F25" s="24">
        <f t="shared" si="10"/>
        <v>25</v>
      </c>
      <c r="G25" s="24">
        <f t="shared" si="10"/>
        <v>25</v>
      </c>
      <c r="H25" s="24">
        <f t="shared" si="10"/>
        <v>26</v>
      </c>
      <c r="I25" s="24">
        <f t="shared" si="10"/>
        <v>26</v>
      </c>
      <c r="J25" s="24">
        <f t="shared" si="10"/>
        <v>26</v>
      </c>
      <c r="K25" s="24">
        <f t="shared" si="10"/>
        <v>27</v>
      </c>
      <c r="L25" s="24">
        <f t="shared" si="10"/>
        <v>27</v>
      </c>
      <c r="M25" s="24">
        <f t="shared" si="10"/>
        <v>28</v>
      </c>
      <c r="N25" s="24">
        <f t="shared" si="10"/>
        <v>28</v>
      </c>
      <c r="O25" s="24">
        <f>N25</f>
        <v>28</v>
      </c>
    </row>
    <row r="26" spans="1:15" x14ac:dyDescent="0.25">
      <c r="A26" s="9" t="s">
        <v>130</v>
      </c>
      <c r="B26" s="13" t="s">
        <v>119</v>
      </c>
      <c r="C26" s="10">
        <f>C25*Assumptions!$C$20/12*(1+Assumptions!$C$21)</f>
        <v>122720</v>
      </c>
      <c r="D26" s="10">
        <f>D25*Assumptions!$C$20/12*(1+Assumptions!$C$21)</f>
        <v>122720</v>
      </c>
      <c r="E26" s="10">
        <f>E25*Assumptions!$C$20/12*(1+Assumptions!$C$21)</f>
        <v>127833.33333333331</v>
      </c>
      <c r="F26" s="10">
        <f>F25*Assumptions!$C$20/12*(1+Assumptions!$C$21)</f>
        <v>127833.33333333331</v>
      </c>
      <c r="G26" s="10">
        <f>G25*Assumptions!$C$20/12*(1+Assumptions!$C$21)</f>
        <v>127833.33333333331</v>
      </c>
      <c r="H26" s="10">
        <f>H25*Assumptions!$C$20/12*(1+Assumptions!$C$21)</f>
        <v>132946.66666666666</v>
      </c>
      <c r="I26" s="10">
        <f>I25*Assumptions!$C$20/12*(1+Assumptions!$C$21)</f>
        <v>132946.66666666666</v>
      </c>
      <c r="J26" s="10">
        <f>J25*Assumptions!$C$20/12*(1+Assumptions!$C$21)</f>
        <v>132946.66666666666</v>
      </c>
      <c r="K26" s="10">
        <f>K25*Assumptions!$C$20/12*(1+Assumptions!$C$21)</f>
        <v>138060</v>
      </c>
      <c r="L26" s="10">
        <f>L25*Assumptions!$C$20/12*(1+Assumptions!$C$21)</f>
        <v>138060</v>
      </c>
      <c r="M26" s="10">
        <f>M25*Assumptions!$C$20/12*(1+Assumptions!$C$21)</f>
        <v>143173.33333333331</v>
      </c>
      <c r="N26" s="10">
        <f>N25*Assumptions!$C$20/12*(1+Assumptions!$C$21)</f>
        <v>143173.33333333331</v>
      </c>
      <c r="O26" s="10">
        <f t="shared" ref="O26:O33" si="11">SUM(C26:N26)</f>
        <v>1590246.6666666665</v>
      </c>
    </row>
    <row r="27" spans="1:15" x14ac:dyDescent="0.25">
      <c r="A27" s="9" t="s">
        <v>131</v>
      </c>
      <c r="B27" s="13" t="s">
        <v>119</v>
      </c>
      <c r="C27" s="10">
        <f>C8*Assumptions!$C$22</f>
        <v>17360</v>
      </c>
      <c r="D27" s="10">
        <f>D8*Assumptions!$C$22</f>
        <v>17980</v>
      </c>
      <c r="E27" s="10">
        <f>E8*Assumptions!$C$22</f>
        <v>17980</v>
      </c>
      <c r="F27" s="10">
        <f>F8*Assumptions!$C$22</f>
        <v>18600</v>
      </c>
      <c r="G27" s="10">
        <f>G8*Assumptions!$C$22</f>
        <v>18600</v>
      </c>
      <c r="H27" s="10">
        <f>H8*Assumptions!$C$22</f>
        <v>19220</v>
      </c>
      <c r="I27" s="10">
        <f>I8*Assumptions!$C$22</f>
        <v>19840</v>
      </c>
      <c r="J27" s="10">
        <f>J8*Assumptions!$C$22</f>
        <v>19840</v>
      </c>
      <c r="K27" s="10">
        <f>K8*Assumptions!$C$22</f>
        <v>20460</v>
      </c>
      <c r="L27" s="10">
        <f>L8*Assumptions!$C$22</f>
        <v>20460</v>
      </c>
      <c r="M27" s="10">
        <f>M8*Assumptions!$C$22</f>
        <v>21080</v>
      </c>
      <c r="N27" s="10">
        <f>N8*Assumptions!$C$22</f>
        <v>21700</v>
      </c>
      <c r="O27" s="10">
        <f t="shared" si="11"/>
        <v>233120</v>
      </c>
    </row>
    <row r="28" spans="1:15" x14ac:dyDescent="0.25">
      <c r="A28" s="9" t="s">
        <v>132</v>
      </c>
      <c r="B28" s="13" t="s">
        <v>119</v>
      </c>
      <c r="C28" s="10">
        <f>C25*Assumptions!$C$23</f>
        <v>4320</v>
      </c>
      <c r="D28" s="10">
        <f>D25*Assumptions!$C$23</f>
        <v>4320</v>
      </c>
      <c r="E28" s="10">
        <f>E25*Assumptions!$C$23</f>
        <v>4500</v>
      </c>
      <c r="F28" s="10">
        <f>F25*Assumptions!$C$23</f>
        <v>4500</v>
      </c>
      <c r="G28" s="10">
        <f>G25*Assumptions!$C$23</f>
        <v>4500</v>
      </c>
      <c r="H28" s="10">
        <f>H25*Assumptions!$C$23</f>
        <v>4680</v>
      </c>
      <c r="I28" s="10">
        <f>I25*Assumptions!$C$23</f>
        <v>4680</v>
      </c>
      <c r="J28" s="10">
        <f>J25*Assumptions!$C$23</f>
        <v>4680</v>
      </c>
      <c r="K28" s="10">
        <f>K25*Assumptions!$C$23</f>
        <v>4860</v>
      </c>
      <c r="L28" s="10">
        <f>L25*Assumptions!$C$23</f>
        <v>4860</v>
      </c>
      <c r="M28" s="10">
        <f>M25*Assumptions!$C$23</f>
        <v>5040</v>
      </c>
      <c r="N28" s="10">
        <f>N25*Assumptions!$C$23</f>
        <v>5040</v>
      </c>
      <c r="O28" s="10">
        <f t="shared" si="11"/>
        <v>55980</v>
      </c>
    </row>
    <row r="29" spans="1:15" x14ac:dyDescent="0.25">
      <c r="A29" s="9" t="s">
        <v>56</v>
      </c>
      <c r="B29" s="13" t="s">
        <v>119</v>
      </c>
      <c r="C29" s="10">
        <f>Assumptions!$C$24</f>
        <v>9500</v>
      </c>
      <c r="D29" s="10">
        <f>Assumptions!$C$24</f>
        <v>9500</v>
      </c>
      <c r="E29" s="10">
        <f>Assumptions!$C$24</f>
        <v>9500</v>
      </c>
      <c r="F29" s="10">
        <f>Assumptions!$C$24</f>
        <v>9500</v>
      </c>
      <c r="G29" s="10">
        <f>Assumptions!$C$24</f>
        <v>9500</v>
      </c>
      <c r="H29" s="10">
        <f>Assumptions!$C$24</f>
        <v>9500</v>
      </c>
      <c r="I29" s="10">
        <f>Assumptions!$C$24</f>
        <v>9500</v>
      </c>
      <c r="J29" s="10">
        <f>Assumptions!$C$24</f>
        <v>9500</v>
      </c>
      <c r="K29" s="10">
        <f>Assumptions!$C$24</f>
        <v>9500</v>
      </c>
      <c r="L29" s="10">
        <f>Assumptions!$C$24</f>
        <v>9500</v>
      </c>
      <c r="M29" s="10">
        <f>Assumptions!$C$24</f>
        <v>9500</v>
      </c>
      <c r="N29" s="10">
        <f>Assumptions!$C$24</f>
        <v>9500</v>
      </c>
      <c r="O29" s="10">
        <f t="shared" si="11"/>
        <v>114000</v>
      </c>
    </row>
    <row r="30" spans="1:15" x14ac:dyDescent="0.25">
      <c r="A30" s="9" t="s">
        <v>58</v>
      </c>
      <c r="B30" s="13" t="s">
        <v>119</v>
      </c>
      <c r="C30" s="10">
        <f>Assumptions!$C$25</f>
        <v>4200</v>
      </c>
      <c r="D30" s="10">
        <f>Assumptions!$C$25</f>
        <v>4200</v>
      </c>
      <c r="E30" s="10">
        <f>Assumptions!$C$25</f>
        <v>4200</v>
      </c>
      <c r="F30" s="10">
        <f>Assumptions!$C$25</f>
        <v>4200</v>
      </c>
      <c r="G30" s="10">
        <f>Assumptions!$C$25</f>
        <v>4200</v>
      </c>
      <c r="H30" s="10">
        <f>Assumptions!$C$25</f>
        <v>4200</v>
      </c>
      <c r="I30" s="10">
        <f>Assumptions!$C$25</f>
        <v>4200</v>
      </c>
      <c r="J30" s="10">
        <f>Assumptions!$C$25</f>
        <v>4200</v>
      </c>
      <c r="K30" s="10">
        <f>Assumptions!$C$25</f>
        <v>4200</v>
      </c>
      <c r="L30" s="10">
        <f>Assumptions!$C$25</f>
        <v>4200</v>
      </c>
      <c r="M30" s="10">
        <f>Assumptions!$C$25</f>
        <v>4200</v>
      </c>
      <c r="N30" s="10">
        <f>Assumptions!$C$25</f>
        <v>4200</v>
      </c>
      <c r="O30" s="10">
        <f t="shared" si="11"/>
        <v>50400</v>
      </c>
    </row>
    <row r="31" spans="1:15" x14ac:dyDescent="0.25">
      <c r="A31" s="9" t="s">
        <v>60</v>
      </c>
      <c r="B31" s="13" t="s">
        <v>119</v>
      </c>
      <c r="C31" s="10">
        <f>Assumptions!$C$26</f>
        <v>6000</v>
      </c>
      <c r="D31" s="10">
        <f>Assumptions!$C$26</f>
        <v>6000</v>
      </c>
      <c r="E31" s="10">
        <f>Assumptions!$C$26</f>
        <v>6000</v>
      </c>
      <c r="F31" s="10">
        <f>Assumptions!$C$26</f>
        <v>6000</v>
      </c>
      <c r="G31" s="10">
        <f>Assumptions!$C$26</f>
        <v>6000</v>
      </c>
      <c r="H31" s="10">
        <f>Assumptions!$C$26</f>
        <v>6000</v>
      </c>
      <c r="I31" s="10">
        <f>Assumptions!$C$26</f>
        <v>6000</v>
      </c>
      <c r="J31" s="10">
        <f>Assumptions!$C$26</f>
        <v>6000</v>
      </c>
      <c r="K31" s="10">
        <f>Assumptions!$C$26</f>
        <v>6000</v>
      </c>
      <c r="L31" s="10">
        <f>Assumptions!$C$26</f>
        <v>6000</v>
      </c>
      <c r="M31" s="10">
        <f>Assumptions!$C$26</f>
        <v>6000</v>
      </c>
      <c r="N31" s="10">
        <f>Assumptions!$C$26</f>
        <v>6000</v>
      </c>
      <c r="O31" s="10">
        <f t="shared" si="11"/>
        <v>72000</v>
      </c>
    </row>
    <row r="32" spans="1:15" x14ac:dyDescent="0.25">
      <c r="A32" s="3" t="s">
        <v>133</v>
      </c>
      <c r="B32" s="13" t="s">
        <v>119</v>
      </c>
      <c r="C32" s="21">
        <f t="shared" ref="C32:N32" si="12">C26+C27+C28+C29+C30+C31</f>
        <v>164100</v>
      </c>
      <c r="D32" s="21">
        <f t="shared" si="12"/>
        <v>164720</v>
      </c>
      <c r="E32" s="21">
        <f t="shared" si="12"/>
        <v>170013.33333333331</v>
      </c>
      <c r="F32" s="21">
        <f t="shared" si="12"/>
        <v>170633.33333333331</v>
      </c>
      <c r="G32" s="21">
        <f t="shared" si="12"/>
        <v>170633.33333333331</v>
      </c>
      <c r="H32" s="21">
        <f t="shared" si="12"/>
        <v>176546.66666666666</v>
      </c>
      <c r="I32" s="21">
        <f t="shared" si="12"/>
        <v>177166.66666666666</v>
      </c>
      <c r="J32" s="21">
        <f t="shared" si="12"/>
        <v>177166.66666666666</v>
      </c>
      <c r="K32" s="21">
        <f t="shared" si="12"/>
        <v>183080</v>
      </c>
      <c r="L32" s="21">
        <f t="shared" si="12"/>
        <v>183080</v>
      </c>
      <c r="M32" s="21">
        <f t="shared" si="12"/>
        <v>188993.33333333331</v>
      </c>
      <c r="N32" s="21">
        <f t="shared" si="12"/>
        <v>189613.33333333331</v>
      </c>
      <c r="O32" s="21">
        <f t="shared" si="11"/>
        <v>2115746.6666666665</v>
      </c>
    </row>
    <row r="33" spans="1:15" x14ac:dyDescent="0.25">
      <c r="A33" s="22" t="s">
        <v>134</v>
      </c>
      <c r="B33" s="13" t="s">
        <v>119</v>
      </c>
      <c r="C33" s="23">
        <f t="shared" ref="C33:N33" si="13">C21-C32</f>
        <v>-31568.5</v>
      </c>
      <c r="D33" s="23">
        <f t="shared" si="13"/>
        <v>-26018.575000000012</v>
      </c>
      <c r="E33" s="23">
        <f t="shared" si="13"/>
        <v>-25445.55833333332</v>
      </c>
      <c r="F33" s="23">
        <f t="shared" si="13"/>
        <v>-19755.958333333314</v>
      </c>
      <c r="G33" s="23">
        <f t="shared" si="13"/>
        <v>-13889.608333333308</v>
      </c>
      <c r="H33" s="23">
        <f t="shared" si="13"/>
        <v>-13353.666666666657</v>
      </c>
      <c r="I33" s="23">
        <f t="shared" si="13"/>
        <v>-581.51866666664137</v>
      </c>
      <c r="J33" s="23">
        <f t="shared" si="13"/>
        <v>5832.8893333333544</v>
      </c>
      <c r="K33" s="23">
        <f t="shared" si="13"/>
        <v>6777.2140000000363</v>
      </c>
      <c r="L33" s="23">
        <f t="shared" si="13"/>
        <v>13191.622000000003</v>
      </c>
      <c r="M33" s="23">
        <f t="shared" si="13"/>
        <v>14281.728666666691</v>
      </c>
      <c r="N33" s="23">
        <f t="shared" si="13"/>
        <v>20810.9506666667</v>
      </c>
      <c r="O33" s="23">
        <f t="shared" si="11"/>
        <v>-69718.980666666466</v>
      </c>
    </row>
    <row r="34" spans="1:15" x14ac:dyDescent="0.25">
      <c r="A34" s="13" t="s">
        <v>135</v>
      </c>
      <c r="B34" s="13" t="s">
        <v>25</v>
      </c>
      <c r="C34" s="31">
        <f t="shared" ref="C34:O34" si="14">IFERROR(C33/C16,0)</f>
        <v>-0.2163708019191227</v>
      </c>
      <c r="D34" s="31">
        <f t="shared" si="14"/>
        <v>-0.17038456501096894</v>
      </c>
      <c r="E34" s="31">
        <f t="shared" si="14"/>
        <v>-0.15981885082016969</v>
      </c>
      <c r="F34" s="31">
        <f t="shared" si="14"/>
        <v>-0.11888646507196217</v>
      </c>
      <c r="G34" s="31">
        <f t="shared" si="14"/>
        <v>-8.043320689888124E-2</v>
      </c>
      <c r="H34" s="31">
        <f t="shared" si="14"/>
        <v>-7.4269558769002542E-2</v>
      </c>
      <c r="I34" s="31">
        <f t="shared" si="14"/>
        <v>-2.9978774093945325E-3</v>
      </c>
      <c r="J34" s="31">
        <f t="shared" si="14"/>
        <v>2.9009304904039964E-2</v>
      </c>
      <c r="K34" s="31">
        <f t="shared" si="14"/>
        <v>3.2487110066324126E-2</v>
      </c>
      <c r="L34" s="31">
        <f t="shared" si="14"/>
        <v>6.1155790402827571E-2</v>
      </c>
      <c r="M34" s="31">
        <f t="shared" si="14"/>
        <v>6.3926322938655578E-2</v>
      </c>
      <c r="N34" s="31">
        <f t="shared" si="14"/>
        <v>8.9983805672684478E-2</v>
      </c>
      <c r="O34" s="31">
        <f t="shared" si="14"/>
        <v>-3.0978949410203394E-2</v>
      </c>
    </row>
    <row r="35" spans="1:15" x14ac:dyDescent="0.25">
      <c r="A35" s="9" t="s">
        <v>136</v>
      </c>
      <c r="B35" s="13" t="s">
        <v>119</v>
      </c>
      <c r="C35" s="10">
        <f>Assumptions!$C$30+Assumptions!$C$28*(C6-1)/Assumptions!$C$29</f>
        <v>4500</v>
      </c>
      <c r="D35" s="10">
        <f>Assumptions!$C$30+Assumptions!$C$28*(D6-1)/Assumptions!$C$29</f>
        <v>4722.2222222222226</v>
      </c>
      <c r="E35" s="10">
        <f>Assumptions!$C$30+Assumptions!$C$28*(E6-1)/Assumptions!$C$29</f>
        <v>4944.4444444444443</v>
      </c>
      <c r="F35" s="10">
        <f>Assumptions!$C$30+Assumptions!$C$28*(F6-1)/Assumptions!$C$29</f>
        <v>5166.666666666667</v>
      </c>
      <c r="G35" s="10">
        <f>Assumptions!$C$30+Assumptions!$C$28*(G6-1)/Assumptions!$C$29</f>
        <v>5388.8888888888887</v>
      </c>
      <c r="H35" s="10">
        <f>Assumptions!$C$30+Assumptions!$C$28*(H6-1)/Assumptions!$C$29</f>
        <v>5611.1111111111113</v>
      </c>
      <c r="I35" s="10">
        <f>Assumptions!$C$30+Assumptions!$C$28*(I6-1)/Assumptions!$C$29</f>
        <v>5833.333333333333</v>
      </c>
      <c r="J35" s="10">
        <f>Assumptions!$C$30+Assumptions!$C$28*(J6-1)/Assumptions!$C$29</f>
        <v>6055.5555555555557</v>
      </c>
      <c r="K35" s="10">
        <f>Assumptions!$C$30+Assumptions!$C$28*(K6-1)/Assumptions!$C$29</f>
        <v>6277.7777777777774</v>
      </c>
      <c r="L35" s="10">
        <f>Assumptions!$C$30+Assumptions!$C$28*(L6-1)/Assumptions!$C$29</f>
        <v>6500</v>
      </c>
      <c r="M35" s="10">
        <f>Assumptions!$C$30+Assumptions!$C$28*(M6-1)/Assumptions!$C$29</f>
        <v>6722.2222222222226</v>
      </c>
      <c r="N35" s="10">
        <f>Assumptions!$C$30+Assumptions!$C$28*(N6-1)/Assumptions!$C$29</f>
        <v>6944.4444444444443</v>
      </c>
      <c r="O35" s="10">
        <f>SUM(C35:N35)</f>
        <v>68666.666666666657</v>
      </c>
    </row>
    <row r="36" spans="1:15" x14ac:dyDescent="0.25">
      <c r="A36" s="3" t="s">
        <v>137</v>
      </c>
      <c r="B36" s="13" t="s">
        <v>119</v>
      </c>
      <c r="C36" s="21">
        <f t="shared" ref="C36:N36" si="15">C33-C35</f>
        <v>-36068.5</v>
      </c>
      <c r="D36" s="21">
        <f t="shared" si="15"/>
        <v>-30740.797222222234</v>
      </c>
      <c r="E36" s="21">
        <f t="shared" si="15"/>
        <v>-30390.002777777765</v>
      </c>
      <c r="F36" s="21">
        <f t="shared" si="15"/>
        <v>-24922.624999999982</v>
      </c>
      <c r="G36" s="21">
        <f t="shared" si="15"/>
        <v>-19278.497222222199</v>
      </c>
      <c r="H36" s="21">
        <f t="shared" si="15"/>
        <v>-18964.777777777766</v>
      </c>
      <c r="I36" s="21">
        <f t="shared" si="15"/>
        <v>-6414.8519999999744</v>
      </c>
      <c r="J36" s="21">
        <f t="shared" si="15"/>
        <v>-222.66622222220121</v>
      </c>
      <c r="K36" s="21">
        <f t="shared" si="15"/>
        <v>499.43622222225895</v>
      </c>
      <c r="L36" s="21">
        <f t="shared" si="15"/>
        <v>6691.622000000003</v>
      </c>
      <c r="M36" s="21">
        <f t="shared" si="15"/>
        <v>7559.5064444444688</v>
      </c>
      <c r="N36" s="21">
        <f t="shared" si="15"/>
        <v>13866.506222222255</v>
      </c>
      <c r="O36" s="21">
        <f>SUM(C36:N36)</f>
        <v>-138385.64733333315</v>
      </c>
    </row>
    <row r="37" spans="1:15" x14ac:dyDescent="0.25">
      <c r="A37" s="9" t="s">
        <v>138</v>
      </c>
      <c r="B37" s="13" t="s">
        <v>119</v>
      </c>
      <c r="C37" s="10">
        <f>MAX(0,C36)*Assumptions!$C$31</f>
        <v>0</v>
      </c>
      <c r="D37" s="10">
        <f>MAX(0,D36)*Assumptions!$C$31</f>
        <v>0</v>
      </c>
      <c r="E37" s="10">
        <f>MAX(0,E36)*Assumptions!$C$31</f>
        <v>0</v>
      </c>
      <c r="F37" s="10">
        <f>MAX(0,F36)*Assumptions!$C$31</f>
        <v>0</v>
      </c>
      <c r="G37" s="10">
        <f>MAX(0,G36)*Assumptions!$C$31</f>
        <v>0</v>
      </c>
      <c r="H37" s="10">
        <f>MAX(0,H36)*Assumptions!$C$31</f>
        <v>0</v>
      </c>
      <c r="I37" s="10">
        <f>MAX(0,I36)*Assumptions!$C$31</f>
        <v>0</v>
      </c>
      <c r="J37" s="10">
        <f>MAX(0,J36)*Assumptions!$C$31</f>
        <v>0</v>
      </c>
      <c r="K37" s="10">
        <f>MAX(0,K36)*Assumptions!$C$31</f>
        <v>124.85905555556474</v>
      </c>
      <c r="L37" s="10">
        <f>MAX(0,L36)*Assumptions!$C$31</f>
        <v>1672.9055000000008</v>
      </c>
      <c r="M37" s="10">
        <f>MAX(0,M36)*Assumptions!$C$31</f>
        <v>1889.8766111111172</v>
      </c>
      <c r="N37" s="10">
        <f>MAX(0,N36)*Assumptions!$C$31</f>
        <v>3466.6265555555638</v>
      </c>
      <c r="O37" s="10">
        <f>SUM(C37:N37)</f>
        <v>7154.2677222222464</v>
      </c>
    </row>
    <row r="38" spans="1:15" x14ac:dyDescent="0.25">
      <c r="A38" s="22" t="s">
        <v>139</v>
      </c>
      <c r="B38" s="13" t="s">
        <v>119</v>
      </c>
      <c r="C38" s="23">
        <f t="shared" ref="C38:N38" si="16">C36-C37</f>
        <v>-36068.5</v>
      </c>
      <c r="D38" s="23">
        <f t="shared" si="16"/>
        <v>-30740.797222222234</v>
      </c>
      <c r="E38" s="23">
        <f t="shared" si="16"/>
        <v>-30390.002777777765</v>
      </c>
      <c r="F38" s="23">
        <f t="shared" si="16"/>
        <v>-24922.624999999982</v>
      </c>
      <c r="G38" s="23">
        <f t="shared" si="16"/>
        <v>-19278.497222222199</v>
      </c>
      <c r="H38" s="23">
        <f t="shared" si="16"/>
        <v>-18964.777777777766</v>
      </c>
      <c r="I38" s="23">
        <f t="shared" si="16"/>
        <v>-6414.8519999999744</v>
      </c>
      <c r="J38" s="23">
        <f t="shared" si="16"/>
        <v>-222.66622222220121</v>
      </c>
      <c r="K38" s="23">
        <f t="shared" si="16"/>
        <v>374.57716666669421</v>
      </c>
      <c r="L38" s="23">
        <f t="shared" si="16"/>
        <v>5018.7165000000023</v>
      </c>
      <c r="M38" s="23">
        <f t="shared" si="16"/>
        <v>5669.6298333333516</v>
      </c>
      <c r="N38" s="23">
        <f t="shared" si="16"/>
        <v>10399.879666666691</v>
      </c>
      <c r="O38" s="23">
        <f>SUM(C38:N38)</f>
        <v>-145539.91505555541</v>
      </c>
    </row>
    <row r="39" spans="1:15" x14ac:dyDescent="0.25">
      <c r="A39" s="41" t="s">
        <v>140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</row>
    <row r="40" spans="1:15" x14ac:dyDescent="0.25">
      <c r="A40" s="9" t="s">
        <v>141</v>
      </c>
      <c r="B40" s="13" t="s">
        <v>119</v>
      </c>
      <c r="C40" s="10">
        <f>C16*Assumptions!$C$32+Assumptions!$C$34</f>
        <v>140720</v>
      </c>
      <c r="D40" s="10">
        <f>D16*Assumptions!$C$32+C16*(1-Assumptions!$C$32)</f>
        <v>151344</v>
      </c>
      <c r="E40" s="10">
        <f>E16*Assumptions!$C$32+D16*(1-Assumptions!$C$32)</f>
        <v>157913</v>
      </c>
      <c r="F40" s="10">
        <f>F16*Assumptions!$C$32+E16*(1-Assumptions!$C$32)</f>
        <v>164783</v>
      </c>
      <c r="G40" s="10">
        <f>G16*Assumptions!$C$32+F16*(1-Assumptions!$C$32)</f>
        <v>171383</v>
      </c>
      <c r="H40" s="10">
        <f>H16*Assumptions!$C$32+G16*(1-Assumptions!$C$32)</f>
        <v>178377</v>
      </c>
      <c r="I40" s="10">
        <f>I16*Assumptions!$C$32+H16*(1-Assumptions!$C$32)</f>
        <v>191141.44000000003</v>
      </c>
      <c r="J40" s="10">
        <f>J16*Assumptions!$C$32+I16*(1-Assumptions!$C$32)</f>
        <v>199651.04</v>
      </c>
      <c r="K40" s="10">
        <f>K16*Assumptions!$C$32+J16*(1-Assumptions!$C$32)</f>
        <v>207103.84000000003</v>
      </c>
      <c r="L40" s="10">
        <f>L16*Assumptions!$C$32+K16*(1-Assumptions!$C$32)</f>
        <v>214286.64</v>
      </c>
      <c r="M40" s="10">
        <f>M16*Assumptions!$C$32+L16*(1-Assumptions!$C$32)</f>
        <v>221868.40000000002</v>
      </c>
      <c r="N40" s="10">
        <f>N16*Assumptions!$C$32+M16*(1-Assumptions!$C$32)</f>
        <v>229701.36000000002</v>
      </c>
      <c r="O40" s="10">
        <f t="shared" ref="O40:O45" si="17">SUM(C40:N40)</f>
        <v>2228272.7199999997</v>
      </c>
    </row>
    <row r="41" spans="1:15" x14ac:dyDescent="0.25">
      <c r="A41" s="9" t="s">
        <v>142</v>
      </c>
      <c r="B41" s="13" t="s">
        <v>119</v>
      </c>
      <c r="C41" s="10">
        <f t="shared" ref="C41:N41" si="18">C20</f>
        <v>13368.5</v>
      </c>
      <c r="D41" s="10">
        <f t="shared" si="18"/>
        <v>14003.575000000001</v>
      </c>
      <c r="E41" s="10">
        <f t="shared" si="18"/>
        <v>14647.225</v>
      </c>
      <c r="F41" s="10">
        <f t="shared" si="18"/>
        <v>15297.625</v>
      </c>
      <c r="G41" s="10">
        <f t="shared" si="18"/>
        <v>15941.275</v>
      </c>
      <c r="H41" s="10">
        <f t="shared" si="18"/>
        <v>16607</v>
      </c>
      <c r="I41" s="10">
        <f t="shared" si="18"/>
        <v>17391.652000000002</v>
      </c>
      <c r="J41" s="10">
        <f t="shared" si="18"/>
        <v>18070.044000000002</v>
      </c>
      <c r="K41" s="10">
        <f t="shared" si="18"/>
        <v>18755.186000000002</v>
      </c>
      <c r="L41" s="10">
        <f t="shared" si="18"/>
        <v>19433.578000000001</v>
      </c>
      <c r="M41" s="10">
        <f t="shared" si="18"/>
        <v>20134.137999999999</v>
      </c>
      <c r="N41" s="10">
        <f t="shared" si="18"/>
        <v>20850.116000000002</v>
      </c>
      <c r="O41" s="10">
        <f t="shared" si="17"/>
        <v>204499.91400000002</v>
      </c>
    </row>
    <row r="42" spans="1:15" x14ac:dyDescent="0.25">
      <c r="A42" s="9" t="s">
        <v>143</v>
      </c>
      <c r="B42" s="13" t="s">
        <v>119</v>
      </c>
      <c r="C42" s="10">
        <f t="shared" ref="C42:N42" si="19">C32</f>
        <v>164100</v>
      </c>
      <c r="D42" s="10">
        <f t="shared" si="19"/>
        <v>164720</v>
      </c>
      <c r="E42" s="10">
        <f t="shared" si="19"/>
        <v>170013.33333333331</v>
      </c>
      <c r="F42" s="10">
        <f t="shared" si="19"/>
        <v>170633.33333333331</v>
      </c>
      <c r="G42" s="10">
        <f t="shared" si="19"/>
        <v>170633.33333333331</v>
      </c>
      <c r="H42" s="10">
        <f t="shared" si="19"/>
        <v>176546.66666666666</v>
      </c>
      <c r="I42" s="10">
        <f t="shared" si="19"/>
        <v>177166.66666666666</v>
      </c>
      <c r="J42" s="10">
        <f t="shared" si="19"/>
        <v>177166.66666666666</v>
      </c>
      <c r="K42" s="10">
        <f t="shared" si="19"/>
        <v>183080</v>
      </c>
      <c r="L42" s="10">
        <f t="shared" si="19"/>
        <v>183080</v>
      </c>
      <c r="M42" s="10">
        <f t="shared" si="19"/>
        <v>188993.33333333331</v>
      </c>
      <c r="N42" s="10">
        <f t="shared" si="19"/>
        <v>189613.33333333331</v>
      </c>
      <c r="O42" s="10">
        <f t="shared" si="17"/>
        <v>2115746.6666666665</v>
      </c>
    </row>
    <row r="43" spans="1:15" x14ac:dyDescent="0.25">
      <c r="A43" s="9" t="s">
        <v>144</v>
      </c>
      <c r="B43" s="13" t="s">
        <v>119</v>
      </c>
      <c r="C43" s="10">
        <f>Assumptions!$C$35</f>
        <v>9000</v>
      </c>
      <c r="D43" s="10">
        <f t="shared" ref="D43:N43" si="20">C37</f>
        <v>0</v>
      </c>
      <c r="E43" s="10">
        <f t="shared" si="20"/>
        <v>0</v>
      </c>
      <c r="F43" s="10">
        <f t="shared" si="20"/>
        <v>0</v>
      </c>
      <c r="G43" s="10">
        <f t="shared" si="20"/>
        <v>0</v>
      </c>
      <c r="H43" s="10">
        <f t="shared" si="20"/>
        <v>0</v>
      </c>
      <c r="I43" s="10">
        <f t="shared" si="20"/>
        <v>0</v>
      </c>
      <c r="J43" s="10">
        <f t="shared" si="20"/>
        <v>0</v>
      </c>
      <c r="K43" s="10">
        <f t="shared" si="20"/>
        <v>0</v>
      </c>
      <c r="L43" s="10">
        <f t="shared" si="20"/>
        <v>124.85905555556474</v>
      </c>
      <c r="M43" s="10">
        <f t="shared" si="20"/>
        <v>1672.9055000000008</v>
      </c>
      <c r="N43" s="10">
        <f t="shared" si="20"/>
        <v>1889.8766111111172</v>
      </c>
      <c r="O43" s="10">
        <f t="shared" si="17"/>
        <v>12687.641166666683</v>
      </c>
    </row>
    <row r="44" spans="1:15" x14ac:dyDescent="0.25">
      <c r="A44" s="9" t="s">
        <v>63</v>
      </c>
      <c r="B44" s="13" t="s">
        <v>119</v>
      </c>
      <c r="C44" s="10">
        <f>Assumptions!$C$28</f>
        <v>8000</v>
      </c>
      <c r="D44" s="10">
        <f>Assumptions!$C$28</f>
        <v>8000</v>
      </c>
      <c r="E44" s="10">
        <f>Assumptions!$C$28</f>
        <v>8000</v>
      </c>
      <c r="F44" s="10">
        <f>Assumptions!$C$28</f>
        <v>8000</v>
      </c>
      <c r="G44" s="10">
        <f>Assumptions!$C$28</f>
        <v>8000</v>
      </c>
      <c r="H44" s="10">
        <f>Assumptions!$C$28</f>
        <v>8000</v>
      </c>
      <c r="I44" s="10">
        <f>Assumptions!$C$28</f>
        <v>8000</v>
      </c>
      <c r="J44" s="10">
        <f>Assumptions!$C$28</f>
        <v>8000</v>
      </c>
      <c r="K44" s="10">
        <f>Assumptions!$C$28</f>
        <v>8000</v>
      </c>
      <c r="L44" s="10">
        <f>Assumptions!$C$28</f>
        <v>8000</v>
      </c>
      <c r="M44" s="10">
        <f>Assumptions!$C$28</f>
        <v>8000</v>
      </c>
      <c r="N44" s="10">
        <f>Assumptions!$C$28</f>
        <v>8000</v>
      </c>
      <c r="O44" s="10">
        <f t="shared" si="17"/>
        <v>96000</v>
      </c>
    </row>
    <row r="45" spans="1:15" x14ac:dyDescent="0.25">
      <c r="A45" s="3" t="s">
        <v>145</v>
      </c>
      <c r="B45" s="13" t="s">
        <v>119</v>
      </c>
      <c r="C45" s="21">
        <f t="shared" ref="C45:N45" si="21">C40-C41-C42-C43-C44</f>
        <v>-53748.5</v>
      </c>
      <c r="D45" s="21">
        <f t="shared" si="21"/>
        <v>-35379.575000000012</v>
      </c>
      <c r="E45" s="21">
        <f t="shared" si="21"/>
        <v>-34747.55833333332</v>
      </c>
      <c r="F45" s="21">
        <f t="shared" si="21"/>
        <v>-29147.958333333314</v>
      </c>
      <c r="G45" s="21">
        <f t="shared" si="21"/>
        <v>-23191.608333333308</v>
      </c>
      <c r="H45" s="21">
        <f t="shared" si="21"/>
        <v>-22776.666666666657</v>
      </c>
      <c r="I45" s="21">
        <f t="shared" si="21"/>
        <v>-11416.878666666627</v>
      </c>
      <c r="J45" s="21">
        <f t="shared" si="21"/>
        <v>-3585.6706666666432</v>
      </c>
      <c r="K45" s="21">
        <f t="shared" si="21"/>
        <v>-2731.3459999999614</v>
      </c>
      <c r="L45" s="21">
        <f t="shared" si="21"/>
        <v>3648.2029444444415</v>
      </c>
      <c r="M45" s="21">
        <f t="shared" si="21"/>
        <v>3068.0231666667023</v>
      </c>
      <c r="N45" s="21">
        <f t="shared" si="21"/>
        <v>9348.034055555574</v>
      </c>
      <c r="O45" s="21">
        <f t="shared" si="17"/>
        <v>-200661.50183333311</v>
      </c>
    </row>
    <row r="46" spans="1:15" x14ac:dyDescent="0.25">
      <c r="A46" s="9" t="s">
        <v>146</v>
      </c>
      <c r="B46" s="13" t="s">
        <v>119</v>
      </c>
      <c r="C46" s="10">
        <f>Assumptions!$C$33</f>
        <v>620000</v>
      </c>
      <c r="D46" s="10">
        <f t="shared" ref="D46:N46" si="22">C47</f>
        <v>566251.5</v>
      </c>
      <c r="E46" s="10">
        <f t="shared" si="22"/>
        <v>530871.92500000005</v>
      </c>
      <c r="F46" s="10">
        <f t="shared" si="22"/>
        <v>496124.3666666667</v>
      </c>
      <c r="G46" s="10">
        <f t="shared" si="22"/>
        <v>466976.40833333338</v>
      </c>
      <c r="H46" s="10">
        <f t="shared" si="22"/>
        <v>443784.80000000005</v>
      </c>
      <c r="I46" s="10">
        <f t="shared" si="22"/>
        <v>421008.13333333342</v>
      </c>
      <c r="J46" s="10">
        <f t="shared" si="22"/>
        <v>409591.25466666679</v>
      </c>
      <c r="K46" s="10">
        <f t="shared" si="22"/>
        <v>406005.58400000015</v>
      </c>
      <c r="L46" s="10">
        <f t="shared" si="22"/>
        <v>403274.23800000019</v>
      </c>
      <c r="M46" s="10">
        <f t="shared" si="22"/>
        <v>406922.44094444462</v>
      </c>
      <c r="N46" s="10">
        <f t="shared" si="22"/>
        <v>409990.4641111113</v>
      </c>
      <c r="O46" s="10">
        <f>C46</f>
        <v>620000</v>
      </c>
    </row>
    <row r="47" spans="1:15" x14ac:dyDescent="0.25">
      <c r="A47" s="22" t="s">
        <v>147</v>
      </c>
      <c r="B47" s="13" t="s">
        <v>119</v>
      </c>
      <c r="C47" s="23">
        <f t="shared" ref="C47:N47" si="23">C46+C45</f>
        <v>566251.5</v>
      </c>
      <c r="D47" s="23">
        <f t="shared" si="23"/>
        <v>530871.92500000005</v>
      </c>
      <c r="E47" s="23">
        <f t="shared" si="23"/>
        <v>496124.3666666667</v>
      </c>
      <c r="F47" s="23">
        <f t="shared" si="23"/>
        <v>466976.40833333338</v>
      </c>
      <c r="G47" s="23">
        <f t="shared" si="23"/>
        <v>443784.80000000005</v>
      </c>
      <c r="H47" s="23">
        <f t="shared" si="23"/>
        <v>421008.13333333342</v>
      </c>
      <c r="I47" s="23">
        <f t="shared" si="23"/>
        <v>409591.25466666679</v>
      </c>
      <c r="J47" s="23">
        <f t="shared" si="23"/>
        <v>406005.58400000015</v>
      </c>
      <c r="K47" s="23">
        <f t="shared" si="23"/>
        <v>403274.23800000019</v>
      </c>
      <c r="L47" s="23">
        <f t="shared" si="23"/>
        <v>406922.44094444462</v>
      </c>
      <c r="M47" s="23">
        <f t="shared" si="23"/>
        <v>409990.4641111113</v>
      </c>
      <c r="N47" s="23">
        <f t="shared" si="23"/>
        <v>419338.49816666689</v>
      </c>
      <c r="O47" s="23">
        <f>N47</f>
        <v>419338.49816666689</v>
      </c>
    </row>
    <row r="48" spans="1:15" x14ac:dyDescent="0.25">
      <c r="A48" s="41" t="s">
        <v>148</v>
      </c>
      <c r="B48" s="41"/>
      <c r="C48" s="41"/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</row>
    <row r="49" spans="1:15" x14ac:dyDescent="0.25">
      <c r="A49" s="9" t="s">
        <v>149</v>
      </c>
      <c r="B49" s="13" t="s">
        <v>119</v>
      </c>
      <c r="C49" s="10">
        <f t="shared" ref="C49:N49" si="24">C10*C12</f>
        <v>136400</v>
      </c>
      <c r="D49" s="10">
        <f t="shared" si="24"/>
        <v>142910</v>
      </c>
      <c r="E49" s="10">
        <f t="shared" si="24"/>
        <v>149420</v>
      </c>
      <c r="F49" s="10">
        <f t="shared" si="24"/>
        <v>155930</v>
      </c>
      <c r="G49" s="10">
        <f t="shared" si="24"/>
        <v>162440</v>
      </c>
      <c r="H49" s="10">
        <f t="shared" si="24"/>
        <v>169260</v>
      </c>
      <c r="I49" s="10">
        <f t="shared" si="24"/>
        <v>183123.20000000001</v>
      </c>
      <c r="J49" s="10">
        <f t="shared" si="24"/>
        <v>190216.00000000003</v>
      </c>
      <c r="K49" s="10">
        <f t="shared" si="24"/>
        <v>197308.80000000002</v>
      </c>
      <c r="L49" s="10">
        <f t="shared" si="24"/>
        <v>204401.60000000003</v>
      </c>
      <c r="M49" s="10">
        <f t="shared" si="24"/>
        <v>211816.80000000002</v>
      </c>
      <c r="N49" s="10">
        <f t="shared" si="24"/>
        <v>219232.00000000003</v>
      </c>
      <c r="O49" s="10">
        <f>N49</f>
        <v>219232.00000000003</v>
      </c>
    </row>
    <row r="50" spans="1:15" x14ac:dyDescent="0.25">
      <c r="A50" s="9" t="s">
        <v>150</v>
      </c>
      <c r="B50" s="13" t="s">
        <v>119</v>
      </c>
      <c r="C50" s="10">
        <f t="shared" ref="C50:N50" si="25">C49*12</f>
        <v>1636800</v>
      </c>
      <c r="D50" s="10">
        <f t="shared" si="25"/>
        <v>1714920</v>
      </c>
      <c r="E50" s="10">
        <f t="shared" si="25"/>
        <v>1793040</v>
      </c>
      <c r="F50" s="10">
        <f t="shared" si="25"/>
        <v>1871160</v>
      </c>
      <c r="G50" s="10">
        <f t="shared" si="25"/>
        <v>1949280</v>
      </c>
      <c r="H50" s="10">
        <f t="shared" si="25"/>
        <v>2031120</v>
      </c>
      <c r="I50" s="10">
        <f t="shared" si="25"/>
        <v>2197478.4000000004</v>
      </c>
      <c r="J50" s="10">
        <f t="shared" si="25"/>
        <v>2282592.0000000005</v>
      </c>
      <c r="K50" s="10">
        <f t="shared" si="25"/>
        <v>2367705.6</v>
      </c>
      <c r="L50" s="10">
        <f t="shared" si="25"/>
        <v>2452819.2000000002</v>
      </c>
      <c r="M50" s="10">
        <f t="shared" si="25"/>
        <v>2541801.6</v>
      </c>
      <c r="N50" s="10">
        <f t="shared" si="25"/>
        <v>2630784.0000000005</v>
      </c>
      <c r="O50" s="10">
        <f>N50</f>
        <v>2630784.0000000005</v>
      </c>
    </row>
    <row r="53" spans="1:15" x14ac:dyDescent="0.25">
      <c r="A53" s="41" t="s">
        <v>151</v>
      </c>
      <c r="B53" s="41"/>
      <c r="C53" s="41"/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</row>
    <row r="54" spans="1:15" x14ac:dyDescent="0.25">
      <c r="A54" s="9" t="s">
        <v>152</v>
      </c>
      <c r="C54" s="14">
        <f>ROUND(O46+O45-O47,2)</f>
        <v>0</v>
      </c>
    </row>
    <row r="55" spans="1:15" x14ac:dyDescent="0.25">
      <c r="A55" s="9" t="s">
        <v>153</v>
      </c>
      <c r="C55" s="14">
        <f>O7+O8-O9-O10</f>
        <v>0</v>
      </c>
    </row>
    <row r="56" spans="1:15" x14ac:dyDescent="0.25">
      <c r="A56" s="9" t="s">
        <v>154</v>
      </c>
      <c r="C56" s="14">
        <f>ROUND(O16-O20-O32-O33,2)</f>
        <v>0</v>
      </c>
    </row>
    <row r="57" spans="1:15" x14ac:dyDescent="0.25">
      <c r="A57" s="9" t="s">
        <v>155</v>
      </c>
      <c r="C57" s="14">
        <f>ROUND(O33-O35-O37-O38,2)</f>
        <v>0</v>
      </c>
    </row>
    <row r="58" spans="1:15" x14ac:dyDescent="0.25">
      <c r="A58" s="9" t="s">
        <v>156</v>
      </c>
      <c r="C58" s="14">
        <f>SUMPRODUCT(--ISERROR(C5:O50))</f>
        <v>0</v>
      </c>
    </row>
  </sheetData>
  <mergeCells count="5">
    <mergeCell ref="A5:O5"/>
    <mergeCell ref="A13:O13"/>
    <mergeCell ref="A39:O39"/>
    <mergeCell ref="A48:O48"/>
    <mergeCell ref="A53:O53"/>
  </mergeCells>
  <pageMargins left="0.7" right="0.7" top="0.75" bottom="0.75" header="0.3" footer="0.3"/>
  <pageSetup paperSize="9" fitToHeight="0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2F5D8A"/>
    <pageSetUpPr fitToPage="1"/>
  </sheetPr>
  <dimension ref="A1:O58"/>
  <sheetViews>
    <sheetView showGridLines="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 x14ac:dyDescent="0.25"/>
  <cols>
    <col min="1" max="1" width="36.7109375" customWidth="1"/>
    <col min="2" max="2" width="11.7109375" customWidth="1"/>
    <col min="3" max="15" width="12.28515625" customWidth="1"/>
  </cols>
  <sheetData>
    <row r="1" spans="1:15" ht="23.25" x14ac:dyDescent="0.25">
      <c r="A1" s="1" t="s">
        <v>157</v>
      </c>
    </row>
    <row r="2" spans="1:15" x14ac:dyDescent="0.25">
      <c r="A2" s="2" t="s">
        <v>158</v>
      </c>
    </row>
    <row r="4" spans="1:15" x14ac:dyDescent="0.25">
      <c r="A4" s="7" t="s">
        <v>105</v>
      </c>
      <c r="B4" s="8" t="s">
        <v>3</v>
      </c>
      <c r="C4" s="8" t="s">
        <v>82</v>
      </c>
      <c r="D4" s="8" t="s">
        <v>83</v>
      </c>
      <c r="E4" s="8" t="s">
        <v>84</v>
      </c>
      <c r="F4" s="8" t="s">
        <v>85</v>
      </c>
      <c r="G4" s="8" t="s">
        <v>86</v>
      </c>
      <c r="H4" s="8" t="s">
        <v>87</v>
      </c>
      <c r="I4" s="8" t="s">
        <v>88</v>
      </c>
      <c r="J4" s="8" t="s">
        <v>89</v>
      </c>
      <c r="K4" s="8" t="s">
        <v>90</v>
      </c>
      <c r="L4" s="8" t="s">
        <v>91</v>
      </c>
      <c r="M4" s="8" t="s">
        <v>92</v>
      </c>
      <c r="N4" s="8" t="s">
        <v>93</v>
      </c>
      <c r="O4" s="8" t="s">
        <v>106</v>
      </c>
    </row>
    <row r="5" spans="1:15" x14ac:dyDescent="0.25">
      <c r="A5" s="41" t="s">
        <v>107</v>
      </c>
      <c r="B5" s="41"/>
      <c r="C5" s="41"/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</row>
    <row r="6" spans="1:15" x14ac:dyDescent="0.25">
      <c r="A6" s="13" t="s">
        <v>108</v>
      </c>
      <c r="B6" s="13" t="s">
        <v>109</v>
      </c>
      <c r="C6" s="24">
        <v>1</v>
      </c>
      <c r="D6" s="24">
        <v>2</v>
      </c>
      <c r="E6" s="24">
        <v>3</v>
      </c>
      <c r="F6" s="24">
        <v>4</v>
      </c>
      <c r="G6" s="24">
        <v>5</v>
      </c>
      <c r="H6" s="24">
        <v>6</v>
      </c>
      <c r="I6" s="24">
        <v>7</v>
      </c>
      <c r="J6" s="24">
        <v>8</v>
      </c>
      <c r="K6" s="24">
        <v>9</v>
      </c>
      <c r="L6" s="24">
        <v>10</v>
      </c>
      <c r="M6" s="24">
        <v>11</v>
      </c>
      <c r="N6" s="24">
        <v>12</v>
      </c>
    </row>
    <row r="7" spans="1:15" x14ac:dyDescent="0.25">
      <c r="A7" s="9" t="s">
        <v>110</v>
      </c>
      <c r="B7" s="13" t="s">
        <v>11</v>
      </c>
      <c r="C7" s="12">
        <f>Assumptions!$D$6</f>
        <v>420</v>
      </c>
      <c r="D7" s="12">
        <f t="shared" ref="D7:N7" si="0">C10</f>
        <v>448</v>
      </c>
      <c r="E7" s="12">
        <f t="shared" si="0"/>
        <v>477</v>
      </c>
      <c r="F7" s="12">
        <f t="shared" si="0"/>
        <v>506</v>
      </c>
      <c r="G7" s="12">
        <f t="shared" si="0"/>
        <v>536</v>
      </c>
      <c r="H7" s="12">
        <f t="shared" si="0"/>
        <v>566</v>
      </c>
      <c r="I7" s="12">
        <f t="shared" si="0"/>
        <v>597</v>
      </c>
      <c r="J7" s="12">
        <f t="shared" si="0"/>
        <v>630</v>
      </c>
      <c r="K7" s="12">
        <f t="shared" si="0"/>
        <v>663</v>
      </c>
      <c r="L7" s="12">
        <f t="shared" si="0"/>
        <v>697</v>
      </c>
      <c r="M7" s="12">
        <f t="shared" si="0"/>
        <v>731</v>
      </c>
      <c r="N7" s="12">
        <f t="shared" si="0"/>
        <v>767</v>
      </c>
      <c r="O7" s="12">
        <f>C7</f>
        <v>420</v>
      </c>
    </row>
    <row r="8" spans="1:15" x14ac:dyDescent="0.25">
      <c r="A8" s="9" t="s">
        <v>111</v>
      </c>
      <c r="B8" s="13" t="s">
        <v>11</v>
      </c>
      <c r="C8" s="12">
        <f>ROUND(Assumptions!$D$7*(1+Assumptions!$D$8)^(C6-1),0)</f>
        <v>34</v>
      </c>
      <c r="D8" s="12">
        <f>ROUND(Assumptions!$D$7*(1+Assumptions!$D$8)^(D6-1),0)</f>
        <v>35</v>
      </c>
      <c r="E8" s="12">
        <f>ROUND(Assumptions!$D$7*(1+Assumptions!$D$8)^(E6-1),0)</f>
        <v>36</v>
      </c>
      <c r="F8" s="12">
        <f>ROUND(Assumptions!$D$7*(1+Assumptions!$D$8)^(F6-1),0)</f>
        <v>37</v>
      </c>
      <c r="G8" s="12">
        <f>ROUND(Assumptions!$D$7*(1+Assumptions!$D$8)^(G6-1),0)</f>
        <v>38</v>
      </c>
      <c r="H8" s="12">
        <f>ROUND(Assumptions!$D$7*(1+Assumptions!$D$8)^(H6-1),0)</f>
        <v>39</v>
      </c>
      <c r="I8" s="12">
        <f>ROUND(Assumptions!$D$7*(1+Assumptions!$D$8)^(I6-1),0)</f>
        <v>41</v>
      </c>
      <c r="J8" s="12">
        <f>ROUND(Assumptions!$D$7*(1+Assumptions!$D$8)^(J6-1),0)</f>
        <v>42</v>
      </c>
      <c r="K8" s="12">
        <f>ROUND(Assumptions!$D$7*(1+Assumptions!$D$8)^(K6-1),0)</f>
        <v>43</v>
      </c>
      <c r="L8" s="12">
        <f>ROUND(Assumptions!$D$7*(1+Assumptions!$D$8)^(L6-1),0)</f>
        <v>44</v>
      </c>
      <c r="M8" s="12">
        <f>ROUND(Assumptions!$D$7*(1+Assumptions!$D$8)^(M6-1),0)</f>
        <v>46</v>
      </c>
      <c r="N8" s="12">
        <f>ROUND(Assumptions!$D$7*(1+Assumptions!$D$8)^(N6-1),0)</f>
        <v>47</v>
      </c>
      <c r="O8" s="12">
        <f>SUM(C8:N8)</f>
        <v>482</v>
      </c>
    </row>
    <row r="9" spans="1:15" x14ac:dyDescent="0.25">
      <c r="A9" s="9" t="s">
        <v>112</v>
      </c>
      <c r="B9" s="13" t="s">
        <v>11</v>
      </c>
      <c r="C9" s="12">
        <f>ROUND(C7*Assumptions!$D$9,0)</f>
        <v>6</v>
      </c>
      <c r="D9" s="12">
        <f>ROUND(D7*Assumptions!$D$9,0)</f>
        <v>6</v>
      </c>
      <c r="E9" s="12">
        <f>ROUND(E7*Assumptions!$D$9,0)</f>
        <v>7</v>
      </c>
      <c r="F9" s="12">
        <f>ROUND(F7*Assumptions!$D$9,0)</f>
        <v>7</v>
      </c>
      <c r="G9" s="12">
        <f>ROUND(G7*Assumptions!$D$9,0)</f>
        <v>8</v>
      </c>
      <c r="H9" s="12">
        <f>ROUND(H7*Assumptions!$D$9,0)</f>
        <v>8</v>
      </c>
      <c r="I9" s="12">
        <f>ROUND(I7*Assumptions!$D$9,0)</f>
        <v>8</v>
      </c>
      <c r="J9" s="12">
        <f>ROUND(J7*Assumptions!$D$9,0)</f>
        <v>9</v>
      </c>
      <c r="K9" s="12">
        <f>ROUND(K7*Assumptions!$D$9,0)</f>
        <v>9</v>
      </c>
      <c r="L9" s="12">
        <f>ROUND(L7*Assumptions!$D$9,0)</f>
        <v>10</v>
      </c>
      <c r="M9" s="12">
        <f>ROUND(M7*Assumptions!$D$9,0)</f>
        <v>10</v>
      </c>
      <c r="N9" s="12">
        <f>ROUND(N7*Assumptions!$D$9,0)</f>
        <v>11</v>
      </c>
      <c r="O9" s="12">
        <f>SUM(C9:N9)</f>
        <v>99</v>
      </c>
    </row>
    <row r="10" spans="1:15" x14ac:dyDescent="0.25">
      <c r="A10" s="3" t="s">
        <v>113</v>
      </c>
      <c r="B10" s="13" t="s">
        <v>11</v>
      </c>
      <c r="C10" s="17">
        <f t="shared" ref="C10:N10" si="1">C7+C8-C9</f>
        <v>448</v>
      </c>
      <c r="D10" s="17">
        <f t="shared" si="1"/>
        <v>477</v>
      </c>
      <c r="E10" s="17">
        <f t="shared" si="1"/>
        <v>506</v>
      </c>
      <c r="F10" s="17">
        <f t="shared" si="1"/>
        <v>536</v>
      </c>
      <c r="G10" s="17">
        <f t="shared" si="1"/>
        <v>566</v>
      </c>
      <c r="H10" s="17">
        <f t="shared" si="1"/>
        <v>597</v>
      </c>
      <c r="I10" s="17">
        <f t="shared" si="1"/>
        <v>630</v>
      </c>
      <c r="J10" s="17">
        <f t="shared" si="1"/>
        <v>663</v>
      </c>
      <c r="K10" s="17">
        <f t="shared" si="1"/>
        <v>697</v>
      </c>
      <c r="L10" s="17">
        <f t="shared" si="1"/>
        <v>731</v>
      </c>
      <c r="M10" s="17">
        <f t="shared" si="1"/>
        <v>767</v>
      </c>
      <c r="N10" s="17">
        <f t="shared" si="1"/>
        <v>803</v>
      </c>
      <c r="O10" s="17">
        <f>N10</f>
        <v>803</v>
      </c>
    </row>
    <row r="11" spans="1:15" x14ac:dyDescent="0.25">
      <c r="A11" s="9" t="s">
        <v>114</v>
      </c>
      <c r="B11" s="13" t="s">
        <v>11</v>
      </c>
      <c r="C11" s="14">
        <f t="shared" ref="C11:N11" si="2">(C7+C10)/2</f>
        <v>434</v>
      </c>
      <c r="D11" s="14">
        <f t="shared" si="2"/>
        <v>462.5</v>
      </c>
      <c r="E11" s="14">
        <f t="shared" si="2"/>
        <v>491.5</v>
      </c>
      <c r="F11" s="14">
        <f t="shared" si="2"/>
        <v>521</v>
      </c>
      <c r="G11" s="14">
        <f t="shared" si="2"/>
        <v>551</v>
      </c>
      <c r="H11" s="14">
        <f t="shared" si="2"/>
        <v>581.5</v>
      </c>
      <c r="I11" s="14">
        <f t="shared" si="2"/>
        <v>613.5</v>
      </c>
      <c r="J11" s="14">
        <f t="shared" si="2"/>
        <v>646.5</v>
      </c>
      <c r="K11" s="14">
        <f t="shared" si="2"/>
        <v>680</v>
      </c>
      <c r="L11" s="14">
        <f t="shared" si="2"/>
        <v>714</v>
      </c>
      <c r="M11" s="14">
        <f t="shared" si="2"/>
        <v>749</v>
      </c>
      <c r="N11" s="14">
        <f t="shared" si="2"/>
        <v>785</v>
      </c>
      <c r="O11" s="14">
        <f>AVERAGE(C11:N11)</f>
        <v>602.45833333333337</v>
      </c>
    </row>
    <row r="12" spans="1:15" x14ac:dyDescent="0.25">
      <c r="A12" s="9" t="s">
        <v>115</v>
      </c>
      <c r="B12" s="13" t="s">
        <v>116</v>
      </c>
      <c r="C12" s="28">
        <f>Assumptions!$D$10*IF(C6&gt;=Assumptions!$D$12,1+Assumptions!$D$11,1)</f>
        <v>322</v>
      </c>
      <c r="D12" s="28">
        <f>Assumptions!$D$10*IF(D6&gt;=Assumptions!$D$12,1+Assumptions!$D$11,1)</f>
        <v>322</v>
      </c>
      <c r="E12" s="28">
        <f>Assumptions!$D$10*IF(E6&gt;=Assumptions!$D$12,1+Assumptions!$D$11,1)</f>
        <v>322</v>
      </c>
      <c r="F12" s="28">
        <f>Assumptions!$D$10*IF(F6&gt;=Assumptions!$D$12,1+Assumptions!$D$11,1)</f>
        <v>322</v>
      </c>
      <c r="G12" s="28">
        <f>Assumptions!$D$10*IF(G6&gt;=Assumptions!$D$12,1+Assumptions!$D$11,1)</f>
        <v>322</v>
      </c>
      <c r="H12" s="28">
        <f>Assumptions!$D$10*IF(H6&gt;=Assumptions!$D$12,1+Assumptions!$D$11,1)</f>
        <v>322</v>
      </c>
      <c r="I12" s="28">
        <f>Assumptions!$D$10*IF(I6&gt;=Assumptions!$D$12,1+Assumptions!$D$11,1)</f>
        <v>338.1</v>
      </c>
      <c r="J12" s="28">
        <f>Assumptions!$D$10*IF(J6&gt;=Assumptions!$D$12,1+Assumptions!$D$11,1)</f>
        <v>338.1</v>
      </c>
      <c r="K12" s="28">
        <f>Assumptions!$D$10*IF(K6&gt;=Assumptions!$D$12,1+Assumptions!$D$11,1)</f>
        <v>338.1</v>
      </c>
      <c r="L12" s="28">
        <f>Assumptions!$D$10*IF(L6&gt;=Assumptions!$D$12,1+Assumptions!$D$11,1)</f>
        <v>338.1</v>
      </c>
      <c r="M12" s="28">
        <f>Assumptions!$D$10*IF(M6&gt;=Assumptions!$D$12,1+Assumptions!$D$11,1)</f>
        <v>338.1</v>
      </c>
      <c r="N12" s="28">
        <f>Assumptions!$D$10*IF(N6&gt;=Assumptions!$D$12,1+Assumptions!$D$11,1)</f>
        <v>338.1</v>
      </c>
      <c r="O12" s="28">
        <f>AVERAGE(C12:N12)</f>
        <v>330.04999999999995</v>
      </c>
    </row>
    <row r="13" spans="1:15" x14ac:dyDescent="0.25">
      <c r="A13" s="41" t="s">
        <v>117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</row>
    <row r="14" spans="1:15" x14ac:dyDescent="0.25">
      <c r="A14" s="9" t="s">
        <v>118</v>
      </c>
      <c r="B14" s="13" t="s">
        <v>119</v>
      </c>
      <c r="C14" s="10">
        <f t="shared" ref="C14:N14" si="3">C11*C12</f>
        <v>139748</v>
      </c>
      <c r="D14" s="10">
        <f t="shared" si="3"/>
        <v>148925</v>
      </c>
      <c r="E14" s="10">
        <f t="shared" si="3"/>
        <v>158263</v>
      </c>
      <c r="F14" s="10">
        <f t="shared" si="3"/>
        <v>167762</v>
      </c>
      <c r="G14" s="10">
        <f t="shared" si="3"/>
        <v>177422</v>
      </c>
      <c r="H14" s="10">
        <f t="shared" si="3"/>
        <v>187243</v>
      </c>
      <c r="I14" s="10">
        <f t="shared" si="3"/>
        <v>207424.35</v>
      </c>
      <c r="J14" s="10">
        <f t="shared" si="3"/>
        <v>218581.65000000002</v>
      </c>
      <c r="K14" s="10">
        <f t="shared" si="3"/>
        <v>229908.00000000003</v>
      </c>
      <c r="L14" s="10">
        <f t="shared" si="3"/>
        <v>241403.40000000002</v>
      </c>
      <c r="M14" s="10">
        <f t="shared" si="3"/>
        <v>253236.90000000002</v>
      </c>
      <c r="N14" s="10">
        <f t="shared" si="3"/>
        <v>265408.5</v>
      </c>
      <c r="O14" s="10">
        <f t="shared" ref="O14:O21" si="4">SUM(C14:N14)</f>
        <v>2395325.7999999998</v>
      </c>
    </row>
    <row r="15" spans="1:15" x14ac:dyDescent="0.25">
      <c r="A15" s="9" t="s">
        <v>120</v>
      </c>
      <c r="B15" s="13" t="s">
        <v>119</v>
      </c>
      <c r="C15" s="10">
        <f>C8*Assumptions!$D$13</f>
        <v>15300</v>
      </c>
      <c r="D15" s="10">
        <f>D8*Assumptions!$D$13</f>
        <v>15750</v>
      </c>
      <c r="E15" s="10">
        <f>E8*Assumptions!$D$13</f>
        <v>16200</v>
      </c>
      <c r="F15" s="10">
        <f>F8*Assumptions!$D$13</f>
        <v>16650</v>
      </c>
      <c r="G15" s="10">
        <f>G8*Assumptions!$D$13</f>
        <v>17100</v>
      </c>
      <c r="H15" s="10">
        <f>H8*Assumptions!$D$13</f>
        <v>17550</v>
      </c>
      <c r="I15" s="10">
        <f>I8*Assumptions!$D$13</f>
        <v>18450</v>
      </c>
      <c r="J15" s="10">
        <f>J8*Assumptions!$D$13</f>
        <v>18900</v>
      </c>
      <c r="K15" s="10">
        <f>K8*Assumptions!$D$13</f>
        <v>19350</v>
      </c>
      <c r="L15" s="10">
        <f>L8*Assumptions!$D$13</f>
        <v>19800</v>
      </c>
      <c r="M15" s="10">
        <f>M8*Assumptions!$D$13</f>
        <v>20700</v>
      </c>
      <c r="N15" s="10">
        <f>N8*Assumptions!$D$13</f>
        <v>21150</v>
      </c>
      <c r="O15" s="10">
        <f t="shared" si="4"/>
        <v>216900</v>
      </c>
    </row>
    <row r="16" spans="1:15" x14ac:dyDescent="0.25">
      <c r="A16" s="3" t="s">
        <v>121</v>
      </c>
      <c r="B16" s="13" t="s">
        <v>119</v>
      </c>
      <c r="C16" s="21">
        <f t="shared" ref="C16:N16" si="5">C14+C15</f>
        <v>155048</v>
      </c>
      <c r="D16" s="21">
        <f t="shared" si="5"/>
        <v>164675</v>
      </c>
      <c r="E16" s="21">
        <f t="shared" si="5"/>
        <v>174463</v>
      </c>
      <c r="F16" s="21">
        <f t="shared" si="5"/>
        <v>184412</v>
      </c>
      <c r="G16" s="21">
        <f t="shared" si="5"/>
        <v>194522</v>
      </c>
      <c r="H16" s="21">
        <f t="shared" si="5"/>
        <v>204793</v>
      </c>
      <c r="I16" s="21">
        <f t="shared" si="5"/>
        <v>225874.35</v>
      </c>
      <c r="J16" s="21">
        <f t="shared" si="5"/>
        <v>237481.65000000002</v>
      </c>
      <c r="K16" s="21">
        <f t="shared" si="5"/>
        <v>249258.00000000003</v>
      </c>
      <c r="L16" s="21">
        <f t="shared" si="5"/>
        <v>261203.40000000002</v>
      </c>
      <c r="M16" s="21">
        <f t="shared" si="5"/>
        <v>273936.90000000002</v>
      </c>
      <c r="N16" s="21">
        <f t="shared" si="5"/>
        <v>286558.5</v>
      </c>
      <c r="O16" s="21">
        <f t="shared" si="4"/>
        <v>2612225.7999999998</v>
      </c>
    </row>
    <row r="17" spans="1:15" x14ac:dyDescent="0.25">
      <c r="A17" s="9" t="s">
        <v>122</v>
      </c>
      <c r="B17" s="13" t="s">
        <v>119</v>
      </c>
      <c r="C17" s="10">
        <f>C11*Assumptions!$D$15</f>
        <v>6076</v>
      </c>
      <c r="D17" s="10">
        <f>D11*Assumptions!$D$15</f>
        <v>6475</v>
      </c>
      <c r="E17" s="10">
        <f>E11*Assumptions!$D$15</f>
        <v>6881</v>
      </c>
      <c r="F17" s="10">
        <f>F11*Assumptions!$D$15</f>
        <v>7294</v>
      </c>
      <c r="G17" s="10">
        <f>G11*Assumptions!$D$15</f>
        <v>7714</v>
      </c>
      <c r="H17" s="10">
        <f>H11*Assumptions!$D$15</f>
        <v>8141</v>
      </c>
      <c r="I17" s="10">
        <f>I11*Assumptions!$D$15</f>
        <v>8589</v>
      </c>
      <c r="J17" s="10">
        <f>J11*Assumptions!$D$15</f>
        <v>9051</v>
      </c>
      <c r="K17" s="10">
        <f>K11*Assumptions!$D$15</f>
        <v>9520</v>
      </c>
      <c r="L17" s="10">
        <f>L11*Assumptions!$D$15</f>
        <v>9996</v>
      </c>
      <c r="M17" s="10">
        <f>M11*Assumptions!$D$15</f>
        <v>10486</v>
      </c>
      <c r="N17" s="10">
        <f>N11*Assumptions!$D$15</f>
        <v>10990</v>
      </c>
      <c r="O17" s="10">
        <f t="shared" si="4"/>
        <v>101213</v>
      </c>
    </row>
    <row r="18" spans="1:15" x14ac:dyDescent="0.25">
      <c r="A18" s="9" t="s">
        <v>123</v>
      </c>
      <c r="B18" s="13" t="s">
        <v>119</v>
      </c>
      <c r="C18" s="10">
        <f>C11*Assumptions!$D$16</f>
        <v>5208</v>
      </c>
      <c r="D18" s="10">
        <f>D11*Assumptions!$D$16</f>
        <v>5550</v>
      </c>
      <c r="E18" s="10">
        <f>E11*Assumptions!$D$16</f>
        <v>5898</v>
      </c>
      <c r="F18" s="10">
        <f>F11*Assumptions!$D$16</f>
        <v>6252</v>
      </c>
      <c r="G18" s="10">
        <f>G11*Assumptions!$D$16</f>
        <v>6612</v>
      </c>
      <c r="H18" s="10">
        <f>H11*Assumptions!$D$16</f>
        <v>6978</v>
      </c>
      <c r="I18" s="10">
        <f>I11*Assumptions!$D$16</f>
        <v>7362</v>
      </c>
      <c r="J18" s="10">
        <f>J11*Assumptions!$D$16</f>
        <v>7758</v>
      </c>
      <c r="K18" s="10">
        <f>K11*Assumptions!$D$16</f>
        <v>8160</v>
      </c>
      <c r="L18" s="10">
        <f>L11*Assumptions!$D$16</f>
        <v>8568</v>
      </c>
      <c r="M18" s="10">
        <f>M11*Assumptions!$D$16</f>
        <v>8988</v>
      </c>
      <c r="N18" s="10">
        <f>N11*Assumptions!$D$16</f>
        <v>9420</v>
      </c>
      <c r="O18" s="10">
        <f t="shared" si="4"/>
        <v>86754</v>
      </c>
    </row>
    <row r="19" spans="1:15" x14ac:dyDescent="0.25">
      <c r="A19" s="9" t="s">
        <v>124</v>
      </c>
      <c r="B19" s="13" t="s">
        <v>119</v>
      </c>
      <c r="C19" s="10">
        <f>C16*Assumptions!$D$17</f>
        <v>2325.7199999999998</v>
      </c>
      <c r="D19" s="10">
        <f>D16*Assumptions!$D$17</f>
        <v>2470.125</v>
      </c>
      <c r="E19" s="10">
        <f>E16*Assumptions!$D$17</f>
        <v>2616.9449999999997</v>
      </c>
      <c r="F19" s="10">
        <f>F16*Assumptions!$D$17</f>
        <v>2766.18</v>
      </c>
      <c r="G19" s="10">
        <f>G16*Assumptions!$D$17</f>
        <v>2917.83</v>
      </c>
      <c r="H19" s="10">
        <f>H16*Assumptions!$D$17</f>
        <v>3071.895</v>
      </c>
      <c r="I19" s="10">
        <f>I16*Assumptions!$D$17</f>
        <v>3388.1152499999998</v>
      </c>
      <c r="J19" s="10">
        <f>J16*Assumptions!$D$17</f>
        <v>3562.2247500000003</v>
      </c>
      <c r="K19" s="10">
        <f>K16*Assumptions!$D$17</f>
        <v>3738.8700000000003</v>
      </c>
      <c r="L19" s="10">
        <f>L16*Assumptions!$D$17</f>
        <v>3918.0510000000004</v>
      </c>
      <c r="M19" s="10">
        <f>M16*Assumptions!$D$17</f>
        <v>4109.0535</v>
      </c>
      <c r="N19" s="10">
        <f>N16*Assumptions!$D$17</f>
        <v>4298.3774999999996</v>
      </c>
      <c r="O19" s="10">
        <f t="shared" si="4"/>
        <v>39183.387000000002</v>
      </c>
    </row>
    <row r="20" spans="1:15" x14ac:dyDescent="0.25">
      <c r="A20" s="3" t="s">
        <v>125</v>
      </c>
      <c r="B20" s="13" t="s">
        <v>119</v>
      </c>
      <c r="C20" s="21">
        <f t="shared" ref="C20:N20" si="6">C17+C18+C19</f>
        <v>13609.72</v>
      </c>
      <c r="D20" s="21">
        <f t="shared" si="6"/>
        <v>14495.125</v>
      </c>
      <c r="E20" s="21">
        <f t="shared" si="6"/>
        <v>15395.945</v>
      </c>
      <c r="F20" s="21">
        <f t="shared" si="6"/>
        <v>16312.18</v>
      </c>
      <c r="G20" s="21">
        <f t="shared" si="6"/>
        <v>17243.830000000002</v>
      </c>
      <c r="H20" s="21">
        <f t="shared" si="6"/>
        <v>18190.895</v>
      </c>
      <c r="I20" s="21">
        <f t="shared" si="6"/>
        <v>19339.115249999999</v>
      </c>
      <c r="J20" s="21">
        <f t="shared" si="6"/>
        <v>20371.224750000001</v>
      </c>
      <c r="K20" s="21">
        <f t="shared" si="6"/>
        <v>21418.87</v>
      </c>
      <c r="L20" s="21">
        <f t="shared" si="6"/>
        <v>22482.050999999999</v>
      </c>
      <c r="M20" s="21">
        <f t="shared" si="6"/>
        <v>23583.053500000002</v>
      </c>
      <c r="N20" s="21">
        <f t="shared" si="6"/>
        <v>24708.377499999999</v>
      </c>
      <c r="O20" s="21">
        <f t="shared" si="4"/>
        <v>227150.38700000002</v>
      </c>
    </row>
    <row r="21" spans="1:15" x14ac:dyDescent="0.25">
      <c r="A21" s="3" t="s">
        <v>126</v>
      </c>
      <c r="B21" s="13" t="s">
        <v>119</v>
      </c>
      <c r="C21" s="21">
        <f t="shared" ref="C21:N21" si="7">C16-C20</f>
        <v>141438.28</v>
      </c>
      <c r="D21" s="21">
        <f t="shared" si="7"/>
        <v>150179.875</v>
      </c>
      <c r="E21" s="21">
        <f t="shared" si="7"/>
        <v>159067.05499999999</v>
      </c>
      <c r="F21" s="21">
        <f t="shared" si="7"/>
        <v>168099.82</v>
      </c>
      <c r="G21" s="21">
        <f t="shared" si="7"/>
        <v>177278.16999999998</v>
      </c>
      <c r="H21" s="21">
        <f t="shared" si="7"/>
        <v>186602.10500000001</v>
      </c>
      <c r="I21" s="21">
        <f t="shared" si="7"/>
        <v>206535.23475</v>
      </c>
      <c r="J21" s="21">
        <f t="shared" si="7"/>
        <v>217110.42525000003</v>
      </c>
      <c r="K21" s="21">
        <f t="shared" si="7"/>
        <v>227839.13000000003</v>
      </c>
      <c r="L21" s="21">
        <f t="shared" si="7"/>
        <v>238721.34900000002</v>
      </c>
      <c r="M21" s="21">
        <f t="shared" si="7"/>
        <v>250353.84650000001</v>
      </c>
      <c r="N21" s="21">
        <f t="shared" si="7"/>
        <v>261850.1225</v>
      </c>
      <c r="O21" s="21">
        <f t="shared" si="4"/>
        <v>2385075.4130000002</v>
      </c>
    </row>
    <row r="22" spans="1:15" x14ac:dyDescent="0.25">
      <c r="A22" s="13" t="s">
        <v>127</v>
      </c>
      <c r="B22" s="13" t="s">
        <v>25</v>
      </c>
      <c r="C22" s="31">
        <f t="shared" ref="C22:O22" si="8">IFERROR(C21/C16,0)</f>
        <v>0.91222253753676286</v>
      </c>
      <c r="D22" s="31">
        <f t="shared" si="8"/>
        <v>0.91197737968726278</v>
      </c>
      <c r="E22" s="31">
        <f t="shared" si="8"/>
        <v>0.91175237729489922</v>
      </c>
      <c r="F22" s="31">
        <f t="shared" si="8"/>
        <v>0.91154491030952434</v>
      </c>
      <c r="G22" s="31">
        <f t="shared" si="8"/>
        <v>0.91135280328189094</v>
      </c>
      <c r="H22" s="31">
        <f t="shared" si="8"/>
        <v>0.91117423447090484</v>
      </c>
      <c r="I22" s="31">
        <f t="shared" si="8"/>
        <v>0.91438109174414894</v>
      </c>
      <c r="J22" s="31">
        <f t="shared" si="8"/>
        <v>0.91421979445569801</v>
      </c>
      <c r="K22" s="31">
        <f t="shared" si="8"/>
        <v>0.91406947821133122</v>
      </c>
      <c r="L22" s="31">
        <f t="shared" si="8"/>
        <v>0.91392894962316717</v>
      </c>
      <c r="M22" s="31">
        <f t="shared" si="8"/>
        <v>0.91391063598952893</v>
      </c>
      <c r="N22" s="31">
        <f t="shared" si="8"/>
        <v>0.913775450736935</v>
      </c>
      <c r="O22" s="31">
        <f t="shared" si="8"/>
        <v>0.91304335674197856</v>
      </c>
    </row>
    <row r="23" spans="1:15" x14ac:dyDescent="0.25">
      <c r="A23" s="13" t="s">
        <v>42</v>
      </c>
      <c r="B23" s="13" t="s">
        <v>43</v>
      </c>
      <c r="C23" s="24">
        <f>Assumptions!$D$19</f>
        <v>24</v>
      </c>
      <c r="D23" s="24">
        <f t="shared" ref="D23:N23" si="9">C25</f>
        <v>24</v>
      </c>
      <c r="E23" s="24">
        <f t="shared" si="9"/>
        <v>25</v>
      </c>
      <c r="F23" s="24">
        <f t="shared" si="9"/>
        <v>26</v>
      </c>
      <c r="G23" s="24">
        <f t="shared" si="9"/>
        <v>26</v>
      </c>
      <c r="H23" s="24">
        <f t="shared" si="9"/>
        <v>27</v>
      </c>
      <c r="I23" s="24">
        <f t="shared" si="9"/>
        <v>28</v>
      </c>
      <c r="J23" s="24">
        <f t="shared" si="9"/>
        <v>28</v>
      </c>
      <c r="K23" s="24">
        <f t="shared" si="9"/>
        <v>29</v>
      </c>
      <c r="L23" s="24">
        <f t="shared" si="9"/>
        <v>30</v>
      </c>
      <c r="M23" s="24">
        <f t="shared" si="9"/>
        <v>30</v>
      </c>
      <c r="N23" s="24">
        <f t="shared" si="9"/>
        <v>31</v>
      </c>
      <c r="O23" s="24">
        <f>C23</f>
        <v>24</v>
      </c>
    </row>
    <row r="24" spans="1:15" x14ac:dyDescent="0.25">
      <c r="A24" s="13" t="s">
        <v>128</v>
      </c>
      <c r="B24" s="13" t="s">
        <v>43</v>
      </c>
      <c r="C24" s="24">
        <f>Assumptions!C40</f>
        <v>0</v>
      </c>
      <c r="D24" s="24">
        <f>Assumptions!D40</f>
        <v>1</v>
      </c>
      <c r="E24" s="24">
        <f>Assumptions!E40</f>
        <v>1</v>
      </c>
      <c r="F24" s="24">
        <f>Assumptions!F40</f>
        <v>0</v>
      </c>
      <c r="G24" s="24">
        <f>Assumptions!G40</f>
        <v>1</v>
      </c>
      <c r="H24" s="24">
        <f>Assumptions!H40</f>
        <v>1</v>
      </c>
      <c r="I24" s="24">
        <f>Assumptions!I40</f>
        <v>0</v>
      </c>
      <c r="J24" s="24">
        <f>Assumptions!J40</f>
        <v>1</v>
      </c>
      <c r="K24" s="24">
        <f>Assumptions!K40</f>
        <v>1</v>
      </c>
      <c r="L24" s="24">
        <f>Assumptions!L40</f>
        <v>0</v>
      </c>
      <c r="M24" s="24">
        <f>Assumptions!M40</f>
        <v>1</v>
      </c>
      <c r="N24" s="24">
        <f>Assumptions!N40</f>
        <v>0</v>
      </c>
      <c r="O24" s="24">
        <f>SUM(C24:N24)</f>
        <v>7</v>
      </c>
    </row>
    <row r="25" spans="1:15" x14ac:dyDescent="0.25">
      <c r="A25" s="13" t="s">
        <v>129</v>
      </c>
      <c r="B25" s="13" t="s">
        <v>43</v>
      </c>
      <c r="C25" s="24">
        <f t="shared" ref="C25:N25" si="10">C23+C24</f>
        <v>24</v>
      </c>
      <c r="D25" s="24">
        <f t="shared" si="10"/>
        <v>25</v>
      </c>
      <c r="E25" s="24">
        <f t="shared" si="10"/>
        <v>26</v>
      </c>
      <c r="F25" s="24">
        <f t="shared" si="10"/>
        <v>26</v>
      </c>
      <c r="G25" s="24">
        <f t="shared" si="10"/>
        <v>27</v>
      </c>
      <c r="H25" s="24">
        <f t="shared" si="10"/>
        <v>28</v>
      </c>
      <c r="I25" s="24">
        <f t="shared" si="10"/>
        <v>28</v>
      </c>
      <c r="J25" s="24">
        <f t="shared" si="10"/>
        <v>29</v>
      </c>
      <c r="K25" s="24">
        <f t="shared" si="10"/>
        <v>30</v>
      </c>
      <c r="L25" s="24">
        <f t="shared" si="10"/>
        <v>30</v>
      </c>
      <c r="M25" s="24">
        <f t="shared" si="10"/>
        <v>31</v>
      </c>
      <c r="N25" s="24">
        <f t="shared" si="10"/>
        <v>31</v>
      </c>
      <c r="O25" s="24">
        <f>N25</f>
        <v>31</v>
      </c>
    </row>
    <row r="26" spans="1:15" x14ac:dyDescent="0.25">
      <c r="A26" s="9" t="s">
        <v>130</v>
      </c>
      <c r="B26" s="13" t="s">
        <v>119</v>
      </c>
      <c r="C26" s="10">
        <f>C25*Assumptions!$D$20/12*(1+Assumptions!$D$21)</f>
        <v>122720</v>
      </c>
      <c r="D26" s="10">
        <f>D25*Assumptions!$D$20/12*(1+Assumptions!$D$21)</f>
        <v>127833.33333333331</v>
      </c>
      <c r="E26" s="10">
        <f>E25*Assumptions!$D$20/12*(1+Assumptions!$D$21)</f>
        <v>132946.66666666666</v>
      </c>
      <c r="F26" s="10">
        <f>F25*Assumptions!$D$20/12*(1+Assumptions!$D$21)</f>
        <v>132946.66666666666</v>
      </c>
      <c r="G26" s="10">
        <f>G25*Assumptions!$D$20/12*(1+Assumptions!$D$21)</f>
        <v>138060</v>
      </c>
      <c r="H26" s="10">
        <f>H25*Assumptions!$D$20/12*(1+Assumptions!$D$21)</f>
        <v>143173.33333333331</v>
      </c>
      <c r="I26" s="10">
        <f>I25*Assumptions!$D$20/12*(1+Assumptions!$D$21)</f>
        <v>143173.33333333331</v>
      </c>
      <c r="J26" s="10">
        <f>J25*Assumptions!$D$20/12*(1+Assumptions!$D$21)</f>
        <v>148286.66666666666</v>
      </c>
      <c r="K26" s="10">
        <f>K25*Assumptions!$D$20/12*(1+Assumptions!$D$21)</f>
        <v>153400</v>
      </c>
      <c r="L26" s="10">
        <f>L25*Assumptions!$D$20/12*(1+Assumptions!$D$21)</f>
        <v>153400</v>
      </c>
      <c r="M26" s="10">
        <f>M25*Assumptions!$D$20/12*(1+Assumptions!$D$21)</f>
        <v>158513.33333333334</v>
      </c>
      <c r="N26" s="10">
        <f>N25*Assumptions!$D$20/12*(1+Assumptions!$D$21)</f>
        <v>158513.33333333334</v>
      </c>
      <c r="O26" s="10">
        <f t="shared" ref="O26:O33" si="11">SUM(C26:N26)</f>
        <v>1712966.6666666665</v>
      </c>
    </row>
    <row r="27" spans="1:15" x14ac:dyDescent="0.25">
      <c r="A27" s="9" t="s">
        <v>131</v>
      </c>
      <c r="B27" s="13" t="s">
        <v>119</v>
      </c>
      <c r="C27" s="10">
        <f>C8*Assumptions!$D$22</f>
        <v>19720</v>
      </c>
      <c r="D27" s="10">
        <f>D8*Assumptions!$D$22</f>
        <v>20300</v>
      </c>
      <c r="E27" s="10">
        <f>E8*Assumptions!$D$22</f>
        <v>20880</v>
      </c>
      <c r="F27" s="10">
        <f>F8*Assumptions!$D$22</f>
        <v>21460</v>
      </c>
      <c r="G27" s="10">
        <f>G8*Assumptions!$D$22</f>
        <v>22040</v>
      </c>
      <c r="H27" s="10">
        <f>H8*Assumptions!$D$22</f>
        <v>22620</v>
      </c>
      <c r="I27" s="10">
        <f>I8*Assumptions!$D$22</f>
        <v>23780</v>
      </c>
      <c r="J27" s="10">
        <f>J8*Assumptions!$D$22</f>
        <v>24360</v>
      </c>
      <c r="K27" s="10">
        <f>K8*Assumptions!$D$22</f>
        <v>24940</v>
      </c>
      <c r="L27" s="10">
        <f>L8*Assumptions!$D$22</f>
        <v>25520</v>
      </c>
      <c r="M27" s="10">
        <f>M8*Assumptions!$D$22</f>
        <v>26680</v>
      </c>
      <c r="N27" s="10">
        <f>N8*Assumptions!$D$22</f>
        <v>27260</v>
      </c>
      <c r="O27" s="10">
        <f t="shared" si="11"/>
        <v>279560</v>
      </c>
    </row>
    <row r="28" spans="1:15" x14ac:dyDescent="0.25">
      <c r="A28" s="9" t="s">
        <v>132</v>
      </c>
      <c r="B28" s="13" t="s">
        <v>119</v>
      </c>
      <c r="C28" s="10">
        <f>C25*Assumptions!$D$23</f>
        <v>4320</v>
      </c>
      <c r="D28" s="10">
        <f>D25*Assumptions!$D$23</f>
        <v>4500</v>
      </c>
      <c r="E28" s="10">
        <f>E25*Assumptions!$D$23</f>
        <v>4680</v>
      </c>
      <c r="F28" s="10">
        <f>F25*Assumptions!$D$23</f>
        <v>4680</v>
      </c>
      <c r="G28" s="10">
        <f>G25*Assumptions!$D$23</f>
        <v>4860</v>
      </c>
      <c r="H28" s="10">
        <f>H25*Assumptions!$D$23</f>
        <v>5040</v>
      </c>
      <c r="I28" s="10">
        <f>I25*Assumptions!$D$23</f>
        <v>5040</v>
      </c>
      <c r="J28" s="10">
        <f>J25*Assumptions!$D$23</f>
        <v>5220</v>
      </c>
      <c r="K28" s="10">
        <f>K25*Assumptions!$D$23</f>
        <v>5400</v>
      </c>
      <c r="L28" s="10">
        <f>L25*Assumptions!$D$23</f>
        <v>5400</v>
      </c>
      <c r="M28" s="10">
        <f>M25*Assumptions!$D$23</f>
        <v>5580</v>
      </c>
      <c r="N28" s="10">
        <f>N25*Assumptions!$D$23</f>
        <v>5580</v>
      </c>
      <c r="O28" s="10">
        <f t="shared" si="11"/>
        <v>60300</v>
      </c>
    </row>
    <row r="29" spans="1:15" x14ac:dyDescent="0.25">
      <c r="A29" s="9" t="s">
        <v>56</v>
      </c>
      <c r="B29" s="13" t="s">
        <v>119</v>
      </c>
      <c r="C29" s="10">
        <f>Assumptions!$D$24</f>
        <v>9500</v>
      </c>
      <c r="D29" s="10">
        <f>Assumptions!$D$24</f>
        <v>9500</v>
      </c>
      <c r="E29" s="10">
        <f>Assumptions!$D$24</f>
        <v>9500</v>
      </c>
      <c r="F29" s="10">
        <f>Assumptions!$D$24</f>
        <v>9500</v>
      </c>
      <c r="G29" s="10">
        <f>Assumptions!$D$24</f>
        <v>9500</v>
      </c>
      <c r="H29" s="10">
        <f>Assumptions!$D$24</f>
        <v>9500</v>
      </c>
      <c r="I29" s="10">
        <f>Assumptions!$D$24</f>
        <v>9500</v>
      </c>
      <c r="J29" s="10">
        <f>Assumptions!$D$24</f>
        <v>9500</v>
      </c>
      <c r="K29" s="10">
        <f>Assumptions!$D$24</f>
        <v>9500</v>
      </c>
      <c r="L29" s="10">
        <f>Assumptions!$D$24</f>
        <v>9500</v>
      </c>
      <c r="M29" s="10">
        <f>Assumptions!$D$24</f>
        <v>9500</v>
      </c>
      <c r="N29" s="10">
        <f>Assumptions!$D$24</f>
        <v>9500</v>
      </c>
      <c r="O29" s="10">
        <f t="shared" si="11"/>
        <v>114000</v>
      </c>
    </row>
    <row r="30" spans="1:15" x14ac:dyDescent="0.25">
      <c r="A30" s="9" t="s">
        <v>58</v>
      </c>
      <c r="B30" s="13" t="s">
        <v>119</v>
      </c>
      <c r="C30" s="10">
        <f>Assumptions!$D$25</f>
        <v>4200</v>
      </c>
      <c r="D30" s="10">
        <f>Assumptions!$D$25</f>
        <v>4200</v>
      </c>
      <c r="E30" s="10">
        <f>Assumptions!$D$25</f>
        <v>4200</v>
      </c>
      <c r="F30" s="10">
        <f>Assumptions!$D$25</f>
        <v>4200</v>
      </c>
      <c r="G30" s="10">
        <f>Assumptions!$D$25</f>
        <v>4200</v>
      </c>
      <c r="H30" s="10">
        <f>Assumptions!$D$25</f>
        <v>4200</v>
      </c>
      <c r="I30" s="10">
        <f>Assumptions!$D$25</f>
        <v>4200</v>
      </c>
      <c r="J30" s="10">
        <f>Assumptions!$D$25</f>
        <v>4200</v>
      </c>
      <c r="K30" s="10">
        <f>Assumptions!$D$25</f>
        <v>4200</v>
      </c>
      <c r="L30" s="10">
        <f>Assumptions!$D$25</f>
        <v>4200</v>
      </c>
      <c r="M30" s="10">
        <f>Assumptions!$D$25</f>
        <v>4200</v>
      </c>
      <c r="N30" s="10">
        <f>Assumptions!$D$25</f>
        <v>4200</v>
      </c>
      <c r="O30" s="10">
        <f t="shared" si="11"/>
        <v>50400</v>
      </c>
    </row>
    <row r="31" spans="1:15" x14ac:dyDescent="0.25">
      <c r="A31" s="9" t="s">
        <v>60</v>
      </c>
      <c r="B31" s="13" t="s">
        <v>119</v>
      </c>
      <c r="C31" s="10">
        <f>Assumptions!$D$26</f>
        <v>6000</v>
      </c>
      <c r="D31" s="10">
        <f>Assumptions!$D$26</f>
        <v>6000</v>
      </c>
      <c r="E31" s="10">
        <f>Assumptions!$D$26</f>
        <v>6000</v>
      </c>
      <c r="F31" s="10">
        <f>Assumptions!$D$26</f>
        <v>6000</v>
      </c>
      <c r="G31" s="10">
        <f>Assumptions!$D$26</f>
        <v>6000</v>
      </c>
      <c r="H31" s="10">
        <f>Assumptions!$D$26</f>
        <v>6000</v>
      </c>
      <c r="I31" s="10">
        <f>Assumptions!$D$26</f>
        <v>6000</v>
      </c>
      <c r="J31" s="10">
        <f>Assumptions!$D$26</f>
        <v>6000</v>
      </c>
      <c r="K31" s="10">
        <f>Assumptions!$D$26</f>
        <v>6000</v>
      </c>
      <c r="L31" s="10">
        <f>Assumptions!$D$26</f>
        <v>6000</v>
      </c>
      <c r="M31" s="10">
        <f>Assumptions!$D$26</f>
        <v>6000</v>
      </c>
      <c r="N31" s="10">
        <f>Assumptions!$D$26</f>
        <v>6000</v>
      </c>
      <c r="O31" s="10">
        <f t="shared" si="11"/>
        <v>72000</v>
      </c>
    </row>
    <row r="32" spans="1:15" x14ac:dyDescent="0.25">
      <c r="A32" s="3" t="s">
        <v>133</v>
      </c>
      <c r="B32" s="13" t="s">
        <v>119</v>
      </c>
      <c r="C32" s="21">
        <f t="shared" ref="C32:N32" si="12">C26+C27+C28+C29+C30+C31</f>
        <v>166460</v>
      </c>
      <c r="D32" s="21">
        <f t="shared" si="12"/>
        <v>172333.33333333331</v>
      </c>
      <c r="E32" s="21">
        <f t="shared" si="12"/>
        <v>178206.66666666666</v>
      </c>
      <c r="F32" s="21">
        <f t="shared" si="12"/>
        <v>178786.66666666666</v>
      </c>
      <c r="G32" s="21">
        <f t="shared" si="12"/>
        <v>184660</v>
      </c>
      <c r="H32" s="21">
        <f t="shared" si="12"/>
        <v>190533.33333333331</v>
      </c>
      <c r="I32" s="21">
        <f t="shared" si="12"/>
        <v>191693.33333333331</v>
      </c>
      <c r="J32" s="21">
        <f t="shared" si="12"/>
        <v>197566.66666666666</v>
      </c>
      <c r="K32" s="21">
        <f t="shared" si="12"/>
        <v>203440</v>
      </c>
      <c r="L32" s="21">
        <f t="shared" si="12"/>
        <v>204020</v>
      </c>
      <c r="M32" s="21">
        <f t="shared" si="12"/>
        <v>210473.33333333334</v>
      </c>
      <c r="N32" s="21">
        <f t="shared" si="12"/>
        <v>211053.33333333334</v>
      </c>
      <c r="O32" s="21">
        <f t="shared" si="11"/>
        <v>2289226.6666666665</v>
      </c>
    </row>
    <row r="33" spans="1:15" x14ac:dyDescent="0.25">
      <c r="A33" s="22" t="s">
        <v>134</v>
      </c>
      <c r="B33" s="13" t="s">
        <v>119</v>
      </c>
      <c r="C33" s="23">
        <f t="shared" ref="C33:N33" si="13">C21-C32</f>
        <v>-25021.72</v>
      </c>
      <c r="D33" s="23">
        <f t="shared" si="13"/>
        <v>-22153.458333333314</v>
      </c>
      <c r="E33" s="23">
        <f t="shared" si="13"/>
        <v>-19139.611666666664</v>
      </c>
      <c r="F33" s="23">
        <f t="shared" si="13"/>
        <v>-10686.84666666665</v>
      </c>
      <c r="G33" s="23">
        <f t="shared" si="13"/>
        <v>-7381.8300000000163</v>
      </c>
      <c r="H33" s="23">
        <f t="shared" si="13"/>
        <v>-3931.2283333333035</v>
      </c>
      <c r="I33" s="23">
        <f t="shared" si="13"/>
        <v>14841.901416666689</v>
      </c>
      <c r="J33" s="23">
        <f t="shared" si="13"/>
        <v>19543.758583333372</v>
      </c>
      <c r="K33" s="23">
        <f t="shared" si="13"/>
        <v>24399.130000000034</v>
      </c>
      <c r="L33" s="23">
        <f t="shared" si="13"/>
        <v>34701.349000000017</v>
      </c>
      <c r="M33" s="23">
        <f t="shared" si="13"/>
        <v>39880.513166666671</v>
      </c>
      <c r="N33" s="23">
        <f t="shared" si="13"/>
        <v>50796.789166666655</v>
      </c>
      <c r="O33" s="23">
        <f t="shared" si="11"/>
        <v>95848.746333333489</v>
      </c>
    </row>
    <row r="34" spans="1:15" x14ac:dyDescent="0.25">
      <c r="A34" s="13" t="s">
        <v>135</v>
      </c>
      <c r="B34" s="13" t="s">
        <v>25</v>
      </c>
      <c r="C34" s="31">
        <f t="shared" ref="C34:O34" si="14">IFERROR(C33/C16,0)</f>
        <v>-0.16138047572364689</v>
      </c>
      <c r="D34" s="31">
        <f t="shared" si="14"/>
        <v>-0.13452836394919274</v>
      </c>
      <c r="E34" s="31">
        <f t="shared" si="14"/>
        <v>-0.10970584975992997</v>
      </c>
      <c r="F34" s="31">
        <f t="shared" si="14"/>
        <v>-5.7950928717581555E-2</v>
      </c>
      <c r="G34" s="31">
        <f t="shared" si="14"/>
        <v>-3.7948561088206045E-2</v>
      </c>
      <c r="H34" s="31">
        <f t="shared" si="14"/>
        <v>-1.9196106963291243E-2</v>
      </c>
      <c r="I34" s="31">
        <f t="shared" si="14"/>
        <v>6.5708662434077567E-2</v>
      </c>
      <c r="J34" s="31">
        <f t="shared" si="14"/>
        <v>8.2295868263225269E-2</v>
      </c>
      <c r="K34" s="31">
        <f t="shared" si="14"/>
        <v>9.7887048760721948E-2</v>
      </c>
      <c r="L34" s="31">
        <f t="shared" si="14"/>
        <v>0.13285182734987375</v>
      </c>
      <c r="M34" s="31">
        <f t="shared" si="14"/>
        <v>0.14558284468673868</v>
      </c>
      <c r="N34" s="31">
        <f t="shared" si="14"/>
        <v>0.17726498835897961</v>
      </c>
      <c r="O34" s="31">
        <f t="shared" si="14"/>
        <v>3.6692366461327154E-2</v>
      </c>
    </row>
    <row r="35" spans="1:15" x14ac:dyDescent="0.25">
      <c r="A35" s="9" t="s">
        <v>136</v>
      </c>
      <c r="B35" s="13" t="s">
        <v>119</v>
      </c>
      <c r="C35" s="10">
        <f>Assumptions!$D$30+Assumptions!$D$28*(C6-1)/Assumptions!$D$29</f>
        <v>4500</v>
      </c>
      <c r="D35" s="10">
        <f>Assumptions!$D$30+Assumptions!$D$28*(D6-1)/Assumptions!$D$29</f>
        <v>4722.2222222222226</v>
      </c>
      <c r="E35" s="10">
        <f>Assumptions!$D$30+Assumptions!$D$28*(E6-1)/Assumptions!$D$29</f>
        <v>4944.4444444444443</v>
      </c>
      <c r="F35" s="10">
        <f>Assumptions!$D$30+Assumptions!$D$28*(F6-1)/Assumptions!$D$29</f>
        <v>5166.666666666667</v>
      </c>
      <c r="G35" s="10">
        <f>Assumptions!$D$30+Assumptions!$D$28*(G6-1)/Assumptions!$D$29</f>
        <v>5388.8888888888887</v>
      </c>
      <c r="H35" s="10">
        <f>Assumptions!$D$30+Assumptions!$D$28*(H6-1)/Assumptions!$D$29</f>
        <v>5611.1111111111113</v>
      </c>
      <c r="I35" s="10">
        <f>Assumptions!$D$30+Assumptions!$D$28*(I6-1)/Assumptions!$D$29</f>
        <v>5833.333333333333</v>
      </c>
      <c r="J35" s="10">
        <f>Assumptions!$D$30+Assumptions!$D$28*(J6-1)/Assumptions!$D$29</f>
        <v>6055.5555555555557</v>
      </c>
      <c r="K35" s="10">
        <f>Assumptions!$D$30+Assumptions!$D$28*(K6-1)/Assumptions!$D$29</f>
        <v>6277.7777777777774</v>
      </c>
      <c r="L35" s="10">
        <f>Assumptions!$D$30+Assumptions!$D$28*(L6-1)/Assumptions!$D$29</f>
        <v>6500</v>
      </c>
      <c r="M35" s="10">
        <f>Assumptions!$D$30+Assumptions!$D$28*(M6-1)/Assumptions!$D$29</f>
        <v>6722.2222222222226</v>
      </c>
      <c r="N35" s="10">
        <f>Assumptions!$D$30+Assumptions!$D$28*(N6-1)/Assumptions!$D$29</f>
        <v>6944.4444444444443</v>
      </c>
      <c r="O35" s="10">
        <f>SUM(C35:N35)</f>
        <v>68666.666666666657</v>
      </c>
    </row>
    <row r="36" spans="1:15" x14ac:dyDescent="0.25">
      <c r="A36" s="3" t="s">
        <v>137</v>
      </c>
      <c r="B36" s="13" t="s">
        <v>119</v>
      </c>
      <c r="C36" s="21">
        <f t="shared" ref="C36:N36" si="15">C33-C35</f>
        <v>-29521.72</v>
      </c>
      <c r="D36" s="21">
        <f t="shared" si="15"/>
        <v>-26875.680555555537</v>
      </c>
      <c r="E36" s="21">
        <f t="shared" si="15"/>
        <v>-24084.056111111109</v>
      </c>
      <c r="F36" s="21">
        <f t="shared" si="15"/>
        <v>-15853.513333333318</v>
      </c>
      <c r="G36" s="21">
        <f t="shared" si="15"/>
        <v>-12770.718888888905</v>
      </c>
      <c r="H36" s="21">
        <f t="shared" si="15"/>
        <v>-9542.3394444444148</v>
      </c>
      <c r="I36" s="21">
        <f t="shared" si="15"/>
        <v>9008.5680833333572</v>
      </c>
      <c r="J36" s="21">
        <f t="shared" si="15"/>
        <v>13488.203027777818</v>
      </c>
      <c r="K36" s="21">
        <f t="shared" si="15"/>
        <v>18121.352222222256</v>
      </c>
      <c r="L36" s="21">
        <f t="shared" si="15"/>
        <v>28201.349000000017</v>
      </c>
      <c r="M36" s="21">
        <f t="shared" si="15"/>
        <v>33158.290944444452</v>
      </c>
      <c r="N36" s="21">
        <f t="shared" si="15"/>
        <v>43852.344722222209</v>
      </c>
      <c r="O36" s="21">
        <f>SUM(C36:N36)</f>
        <v>27182.079666666825</v>
      </c>
    </row>
    <row r="37" spans="1:15" x14ac:dyDescent="0.25">
      <c r="A37" s="9" t="s">
        <v>138</v>
      </c>
      <c r="B37" s="13" t="s">
        <v>119</v>
      </c>
      <c r="C37" s="10">
        <f>MAX(0,C36)*Assumptions!$D$31</f>
        <v>0</v>
      </c>
      <c r="D37" s="10">
        <f>MAX(0,D36)*Assumptions!$D$31</f>
        <v>0</v>
      </c>
      <c r="E37" s="10">
        <f>MAX(0,E36)*Assumptions!$D$31</f>
        <v>0</v>
      </c>
      <c r="F37" s="10">
        <f>MAX(0,F36)*Assumptions!$D$31</f>
        <v>0</v>
      </c>
      <c r="G37" s="10">
        <f>MAX(0,G36)*Assumptions!$D$31</f>
        <v>0</v>
      </c>
      <c r="H37" s="10">
        <f>MAX(0,H36)*Assumptions!$D$31</f>
        <v>0</v>
      </c>
      <c r="I37" s="10">
        <f>MAX(0,I36)*Assumptions!$D$31</f>
        <v>2252.1420208333393</v>
      </c>
      <c r="J37" s="10">
        <f>MAX(0,J36)*Assumptions!$D$31</f>
        <v>3372.0507569444544</v>
      </c>
      <c r="K37" s="10">
        <f>MAX(0,K36)*Assumptions!$D$31</f>
        <v>4530.3380555555641</v>
      </c>
      <c r="L37" s="10">
        <f>MAX(0,L36)*Assumptions!$D$31</f>
        <v>7050.3372500000041</v>
      </c>
      <c r="M37" s="10">
        <f>MAX(0,M36)*Assumptions!$D$31</f>
        <v>8289.572736111113</v>
      </c>
      <c r="N37" s="10">
        <f>MAX(0,N36)*Assumptions!$D$31</f>
        <v>10963.086180555552</v>
      </c>
      <c r="O37" s="10">
        <f>SUM(C37:N37)</f>
        <v>36457.527000000031</v>
      </c>
    </row>
    <row r="38" spans="1:15" x14ac:dyDescent="0.25">
      <c r="A38" s="22" t="s">
        <v>139</v>
      </c>
      <c r="B38" s="13" t="s">
        <v>119</v>
      </c>
      <c r="C38" s="23">
        <f t="shared" ref="C38:N38" si="16">C36-C37</f>
        <v>-29521.72</v>
      </c>
      <c r="D38" s="23">
        <f t="shared" si="16"/>
        <v>-26875.680555555537</v>
      </c>
      <c r="E38" s="23">
        <f t="shared" si="16"/>
        <v>-24084.056111111109</v>
      </c>
      <c r="F38" s="23">
        <f t="shared" si="16"/>
        <v>-15853.513333333318</v>
      </c>
      <c r="G38" s="23">
        <f t="shared" si="16"/>
        <v>-12770.718888888905</v>
      </c>
      <c r="H38" s="23">
        <f t="shared" si="16"/>
        <v>-9542.3394444444148</v>
      </c>
      <c r="I38" s="23">
        <f t="shared" si="16"/>
        <v>6756.4260625000179</v>
      </c>
      <c r="J38" s="23">
        <f t="shared" si="16"/>
        <v>10116.152270833363</v>
      </c>
      <c r="K38" s="23">
        <f t="shared" si="16"/>
        <v>13591.014166666693</v>
      </c>
      <c r="L38" s="23">
        <f t="shared" si="16"/>
        <v>21151.011750000012</v>
      </c>
      <c r="M38" s="23">
        <f t="shared" si="16"/>
        <v>24868.718208333339</v>
      </c>
      <c r="N38" s="23">
        <f t="shared" si="16"/>
        <v>32889.258541666655</v>
      </c>
      <c r="O38" s="23">
        <f>SUM(C38:N38)</f>
        <v>-9275.4473333332062</v>
      </c>
    </row>
    <row r="39" spans="1:15" x14ac:dyDescent="0.25">
      <c r="A39" s="41" t="s">
        <v>140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</row>
    <row r="40" spans="1:15" x14ac:dyDescent="0.25">
      <c r="A40" s="9" t="s">
        <v>141</v>
      </c>
      <c r="B40" s="13" t="s">
        <v>119</v>
      </c>
      <c r="C40" s="10">
        <f>C16*Assumptions!$D$32+Assumptions!$D$34</f>
        <v>148038.40000000002</v>
      </c>
      <c r="D40" s="10">
        <f>D16*Assumptions!$D$32+C16*(1-Assumptions!$D$32)</f>
        <v>162749.6</v>
      </c>
      <c r="E40" s="10">
        <f>E16*Assumptions!$D$32+D16*(1-Assumptions!$D$32)</f>
        <v>172505.4</v>
      </c>
      <c r="F40" s="10">
        <f>F16*Assumptions!$D$32+E16*(1-Assumptions!$D$32)</f>
        <v>182422.2</v>
      </c>
      <c r="G40" s="10">
        <f>G16*Assumptions!$D$32+F16*(1-Assumptions!$D$32)</f>
        <v>192500</v>
      </c>
      <c r="H40" s="10">
        <f>H16*Assumptions!$D$32+G16*(1-Assumptions!$D$32)</f>
        <v>202738.80000000002</v>
      </c>
      <c r="I40" s="10">
        <f>I16*Assumptions!$D$32+H16*(1-Assumptions!$D$32)</f>
        <v>221658.08000000002</v>
      </c>
      <c r="J40" s="10">
        <f>J16*Assumptions!$D$32+I16*(1-Assumptions!$D$32)</f>
        <v>235160.19000000003</v>
      </c>
      <c r="K40" s="10">
        <f>K16*Assumptions!$D$32+J16*(1-Assumptions!$D$32)</f>
        <v>246902.73</v>
      </c>
      <c r="L40" s="10">
        <f>L16*Assumptions!$D$32+K16*(1-Assumptions!$D$32)</f>
        <v>258814.32</v>
      </c>
      <c r="M40" s="10">
        <f>M16*Assumptions!$D$32+L16*(1-Assumptions!$D$32)</f>
        <v>271390.2</v>
      </c>
      <c r="N40" s="10">
        <f>N16*Assumptions!$D$32+M16*(1-Assumptions!$D$32)</f>
        <v>284034.18</v>
      </c>
      <c r="O40" s="10">
        <f t="shared" ref="O40:O45" si="17">SUM(C40:N40)</f>
        <v>2578914.1000000006</v>
      </c>
    </row>
    <row r="41" spans="1:15" x14ac:dyDescent="0.25">
      <c r="A41" s="9" t="s">
        <v>142</v>
      </c>
      <c r="B41" s="13" t="s">
        <v>119</v>
      </c>
      <c r="C41" s="10">
        <f t="shared" ref="C41:N41" si="18">C20</f>
        <v>13609.72</v>
      </c>
      <c r="D41" s="10">
        <f t="shared" si="18"/>
        <v>14495.125</v>
      </c>
      <c r="E41" s="10">
        <f t="shared" si="18"/>
        <v>15395.945</v>
      </c>
      <c r="F41" s="10">
        <f t="shared" si="18"/>
        <v>16312.18</v>
      </c>
      <c r="G41" s="10">
        <f t="shared" si="18"/>
        <v>17243.830000000002</v>
      </c>
      <c r="H41" s="10">
        <f t="shared" si="18"/>
        <v>18190.895</v>
      </c>
      <c r="I41" s="10">
        <f t="shared" si="18"/>
        <v>19339.115249999999</v>
      </c>
      <c r="J41" s="10">
        <f t="shared" si="18"/>
        <v>20371.224750000001</v>
      </c>
      <c r="K41" s="10">
        <f t="shared" si="18"/>
        <v>21418.87</v>
      </c>
      <c r="L41" s="10">
        <f t="shared" si="18"/>
        <v>22482.050999999999</v>
      </c>
      <c r="M41" s="10">
        <f t="shared" si="18"/>
        <v>23583.053500000002</v>
      </c>
      <c r="N41" s="10">
        <f t="shared" si="18"/>
        <v>24708.377499999999</v>
      </c>
      <c r="O41" s="10">
        <f t="shared" si="17"/>
        <v>227150.38700000002</v>
      </c>
    </row>
    <row r="42" spans="1:15" x14ac:dyDescent="0.25">
      <c r="A42" s="9" t="s">
        <v>143</v>
      </c>
      <c r="B42" s="13" t="s">
        <v>119</v>
      </c>
      <c r="C42" s="10">
        <f t="shared" ref="C42:N42" si="19">C32</f>
        <v>166460</v>
      </c>
      <c r="D42" s="10">
        <f t="shared" si="19"/>
        <v>172333.33333333331</v>
      </c>
      <c r="E42" s="10">
        <f t="shared" si="19"/>
        <v>178206.66666666666</v>
      </c>
      <c r="F42" s="10">
        <f t="shared" si="19"/>
        <v>178786.66666666666</v>
      </c>
      <c r="G42" s="10">
        <f t="shared" si="19"/>
        <v>184660</v>
      </c>
      <c r="H42" s="10">
        <f t="shared" si="19"/>
        <v>190533.33333333331</v>
      </c>
      <c r="I42" s="10">
        <f t="shared" si="19"/>
        <v>191693.33333333331</v>
      </c>
      <c r="J42" s="10">
        <f t="shared" si="19"/>
        <v>197566.66666666666</v>
      </c>
      <c r="K42" s="10">
        <f t="shared" si="19"/>
        <v>203440</v>
      </c>
      <c r="L42" s="10">
        <f t="shared" si="19"/>
        <v>204020</v>
      </c>
      <c r="M42" s="10">
        <f t="shared" si="19"/>
        <v>210473.33333333334</v>
      </c>
      <c r="N42" s="10">
        <f t="shared" si="19"/>
        <v>211053.33333333334</v>
      </c>
      <c r="O42" s="10">
        <f t="shared" si="17"/>
        <v>2289226.6666666665</v>
      </c>
    </row>
    <row r="43" spans="1:15" x14ac:dyDescent="0.25">
      <c r="A43" s="9" t="s">
        <v>144</v>
      </c>
      <c r="B43" s="13" t="s">
        <v>119</v>
      </c>
      <c r="C43" s="10">
        <f>Assumptions!$D$35</f>
        <v>9000</v>
      </c>
      <c r="D43" s="10">
        <f t="shared" ref="D43:N43" si="20">C37</f>
        <v>0</v>
      </c>
      <c r="E43" s="10">
        <f t="shared" si="20"/>
        <v>0</v>
      </c>
      <c r="F43" s="10">
        <f t="shared" si="20"/>
        <v>0</v>
      </c>
      <c r="G43" s="10">
        <f t="shared" si="20"/>
        <v>0</v>
      </c>
      <c r="H43" s="10">
        <f t="shared" si="20"/>
        <v>0</v>
      </c>
      <c r="I43" s="10">
        <f t="shared" si="20"/>
        <v>0</v>
      </c>
      <c r="J43" s="10">
        <f t="shared" si="20"/>
        <v>2252.1420208333393</v>
      </c>
      <c r="K43" s="10">
        <f t="shared" si="20"/>
        <v>3372.0507569444544</v>
      </c>
      <c r="L43" s="10">
        <f t="shared" si="20"/>
        <v>4530.3380555555641</v>
      </c>
      <c r="M43" s="10">
        <f t="shared" si="20"/>
        <v>7050.3372500000041</v>
      </c>
      <c r="N43" s="10">
        <f t="shared" si="20"/>
        <v>8289.572736111113</v>
      </c>
      <c r="O43" s="10">
        <f t="shared" si="17"/>
        <v>34494.440819444477</v>
      </c>
    </row>
    <row r="44" spans="1:15" x14ac:dyDescent="0.25">
      <c r="A44" s="9" t="s">
        <v>63</v>
      </c>
      <c r="B44" s="13" t="s">
        <v>119</v>
      </c>
      <c r="C44" s="10">
        <f>Assumptions!$D$28</f>
        <v>8000</v>
      </c>
      <c r="D44" s="10">
        <f>Assumptions!$D$28</f>
        <v>8000</v>
      </c>
      <c r="E44" s="10">
        <f>Assumptions!$D$28</f>
        <v>8000</v>
      </c>
      <c r="F44" s="10">
        <f>Assumptions!$D$28</f>
        <v>8000</v>
      </c>
      <c r="G44" s="10">
        <f>Assumptions!$D$28</f>
        <v>8000</v>
      </c>
      <c r="H44" s="10">
        <f>Assumptions!$D$28</f>
        <v>8000</v>
      </c>
      <c r="I44" s="10">
        <f>Assumptions!$D$28</f>
        <v>8000</v>
      </c>
      <c r="J44" s="10">
        <f>Assumptions!$D$28</f>
        <v>8000</v>
      </c>
      <c r="K44" s="10">
        <f>Assumptions!$D$28</f>
        <v>8000</v>
      </c>
      <c r="L44" s="10">
        <f>Assumptions!$D$28</f>
        <v>8000</v>
      </c>
      <c r="M44" s="10">
        <f>Assumptions!$D$28</f>
        <v>8000</v>
      </c>
      <c r="N44" s="10">
        <f>Assumptions!$D$28</f>
        <v>8000</v>
      </c>
      <c r="O44" s="10">
        <f t="shared" si="17"/>
        <v>96000</v>
      </c>
    </row>
    <row r="45" spans="1:15" x14ac:dyDescent="0.25">
      <c r="A45" s="3" t="s">
        <v>145</v>
      </c>
      <c r="B45" s="13" t="s">
        <v>119</v>
      </c>
      <c r="C45" s="21">
        <f t="shared" ref="C45:N45" si="21">C40-C41-C42-C43-C44</f>
        <v>-49031.319999999978</v>
      </c>
      <c r="D45" s="21">
        <f t="shared" si="21"/>
        <v>-32078.858333333308</v>
      </c>
      <c r="E45" s="21">
        <f t="shared" si="21"/>
        <v>-29097.21166666667</v>
      </c>
      <c r="F45" s="21">
        <f t="shared" si="21"/>
        <v>-20676.646666666638</v>
      </c>
      <c r="G45" s="21">
        <f t="shared" si="21"/>
        <v>-17403.830000000016</v>
      </c>
      <c r="H45" s="21">
        <f t="shared" si="21"/>
        <v>-13985.428333333286</v>
      </c>
      <c r="I45" s="21">
        <f t="shared" si="21"/>
        <v>2625.6314166666998</v>
      </c>
      <c r="J45" s="21">
        <f t="shared" si="21"/>
        <v>6970.1565625000403</v>
      </c>
      <c r="K45" s="21">
        <f t="shared" si="21"/>
        <v>10671.809243055563</v>
      </c>
      <c r="L45" s="21">
        <f t="shared" si="21"/>
        <v>19781.930944444437</v>
      </c>
      <c r="M45" s="21">
        <f t="shared" si="21"/>
        <v>22283.475916666655</v>
      </c>
      <c r="N45" s="21">
        <f t="shared" si="21"/>
        <v>31982.896430555535</v>
      </c>
      <c r="O45" s="21">
        <f t="shared" si="17"/>
        <v>-67957.394486110978</v>
      </c>
    </row>
    <row r="46" spans="1:15" x14ac:dyDescent="0.25">
      <c r="A46" s="9" t="s">
        <v>146</v>
      </c>
      <c r="B46" s="13" t="s">
        <v>119</v>
      </c>
      <c r="C46" s="10">
        <f>Assumptions!$D$33</f>
        <v>620000</v>
      </c>
      <c r="D46" s="10">
        <f t="shared" ref="D46:N46" si="22">C47</f>
        <v>570968.68000000005</v>
      </c>
      <c r="E46" s="10">
        <f t="shared" si="22"/>
        <v>538889.82166666677</v>
      </c>
      <c r="F46" s="10">
        <f t="shared" si="22"/>
        <v>509792.6100000001</v>
      </c>
      <c r="G46" s="10">
        <f t="shared" si="22"/>
        <v>489115.96333333349</v>
      </c>
      <c r="H46" s="10">
        <f t="shared" si="22"/>
        <v>471712.13333333348</v>
      </c>
      <c r="I46" s="10">
        <f t="shared" si="22"/>
        <v>457726.70500000019</v>
      </c>
      <c r="J46" s="10">
        <f t="shared" si="22"/>
        <v>460352.33641666686</v>
      </c>
      <c r="K46" s="10">
        <f t="shared" si="22"/>
        <v>467322.49297916691</v>
      </c>
      <c r="L46" s="10">
        <f t="shared" si="22"/>
        <v>477994.3022222225</v>
      </c>
      <c r="M46" s="10">
        <f t="shared" si="22"/>
        <v>497776.23316666693</v>
      </c>
      <c r="N46" s="10">
        <f t="shared" si="22"/>
        <v>520059.70908333361</v>
      </c>
      <c r="O46" s="10">
        <f>C46</f>
        <v>620000</v>
      </c>
    </row>
    <row r="47" spans="1:15" x14ac:dyDescent="0.25">
      <c r="A47" s="22" t="s">
        <v>147</v>
      </c>
      <c r="B47" s="13" t="s">
        <v>119</v>
      </c>
      <c r="C47" s="23">
        <f t="shared" ref="C47:N47" si="23">C46+C45</f>
        <v>570968.68000000005</v>
      </c>
      <c r="D47" s="23">
        <f t="shared" si="23"/>
        <v>538889.82166666677</v>
      </c>
      <c r="E47" s="23">
        <f t="shared" si="23"/>
        <v>509792.6100000001</v>
      </c>
      <c r="F47" s="23">
        <f t="shared" si="23"/>
        <v>489115.96333333349</v>
      </c>
      <c r="G47" s="23">
        <f t="shared" si="23"/>
        <v>471712.13333333348</v>
      </c>
      <c r="H47" s="23">
        <f t="shared" si="23"/>
        <v>457726.70500000019</v>
      </c>
      <c r="I47" s="23">
        <f t="shared" si="23"/>
        <v>460352.33641666686</v>
      </c>
      <c r="J47" s="23">
        <f t="shared" si="23"/>
        <v>467322.49297916691</v>
      </c>
      <c r="K47" s="23">
        <f t="shared" si="23"/>
        <v>477994.3022222225</v>
      </c>
      <c r="L47" s="23">
        <f t="shared" si="23"/>
        <v>497776.23316666693</v>
      </c>
      <c r="M47" s="23">
        <f t="shared" si="23"/>
        <v>520059.70908333361</v>
      </c>
      <c r="N47" s="23">
        <f t="shared" si="23"/>
        <v>552042.60551388911</v>
      </c>
      <c r="O47" s="23">
        <f>N47</f>
        <v>552042.60551388911</v>
      </c>
    </row>
    <row r="48" spans="1:15" x14ac:dyDescent="0.25">
      <c r="A48" s="41" t="s">
        <v>148</v>
      </c>
      <c r="B48" s="41"/>
      <c r="C48" s="41"/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</row>
    <row r="49" spans="1:15" x14ac:dyDescent="0.25">
      <c r="A49" s="9" t="s">
        <v>149</v>
      </c>
      <c r="B49" s="13" t="s">
        <v>119</v>
      </c>
      <c r="C49" s="10">
        <f t="shared" ref="C49:N49" si="24">C10*C12</f>
        <v>144256</v>
      </c>
      <c r="D49" s="10">
        <f t="shared" si="24"/>
        <v>153594</v>
      </c>
      <c r="E49" s="10">
        <f t="shared" si="24"/>
        <v>162932</v>
      </c>
      <c r="F49" s="10">
        <f t="shared" si="24"/>
        <v>172592</v>
      </c>
      <c r="G49" s="10">
        <f t="shared" si="24"/>
        <v>182252</v>
      </c>
      <c r="H49" s="10">
        <f t="shared" si="24"/>
        <v>192234</v>
      </c>
      <c r="I49" s="10">
        <f t="shared" si="24"/>
        <v>213003</v>
      </c>
      <c r="J49" s="10">
        <f t="shared" si="24"/>
        <v>224160.30000000002</v>
      </c>
      <c r="K49" s="10">
        <f t="shared" si="24"/>
        <v>235655.7</v>
      </c>
      <c r="L49" s="10">
        <f t="shared" si="24"/>
        <v>247151.1</v>
      </c>
      <c r="M49" s="10">
        <f t="shared" si="24"/>
        <v>259322.7</v>
      </c>
      <c r="N49" s="10">
        <f t="shared" si="24"/>
        <v>271494.30000000005</v>
      </c>
      <c r="O49" s="10">
        <f>N49</f>
        <v>271494.30000000005</v>
      </c>
    </row>
    <row r="50" spans="1:15" x14ac:dyDescent="0.25">
      <c r="A50" s="9" t="s">
        <v>150</v>
      </c>
      <c r="B50" s="13" t="s">
        <v>119</v>
      </c>
      <c r="C50" s="10">
        <f t="shared" ref="C50:N50" si="25">C49*12</f>
        <v>1731072</v>
      </c>
      <c r="D50" s="10">
        <f t="shared" si="25"/>
        <v>1843128</v>
      </c>
      <c r="E50" s="10">
        <f t="shared" si="25"/>
        <v>1955184</v>
      </c>
      <c r="F50" s="10">
        <f t="shared" si="25"/>
        <v>2071104</v>
      </c>
      <c r="G50" s="10">
        <f t="shared" si="25"/>
        <v>2187024</v>
      </c>
      <c r="H50" s="10">
        <f t="shared" si="25"/>
        <v>2306808</v>
      </c>
      <c r="I50" s="10">
        <f t="shared" si="25"/>
        <v>2556036</v>
      </c>
      <c r="J50" s="10">
        <f t="shared" si="25"/>
        <v>2689923.6</v>
      </c>
      <c r="K50" s="10">
        <f t="shared" si="25"/>
        <v>2827868.4000000004</v>
      </c>
      <c r="L50" s="10">
        <f t="shared" si="25"/>
        <v>2965813.2</v>
      </c>
      <c r="M50" s="10">
        <f t="shared" si="25"/>
        <v>3111872.4000000004</v>
      </c>
      <c r="N50" s="10">
        <f t="shared" si="25"/>
        <v>3257931.6000000006</v>
      </c>
      <c r="O50" s="10">
        <f>N50</f>
        <v>3257931.6000000006</v>
      </c>
    </row>
    <row r="53" spans="1:15" x14ac:dyDescent="0.25">
      <c r="A53" s="41" t="s">
        <v>151</v>
      </c>
      <c r="B53" s="41"/>
      <c r="C53" s="41"/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</row>
    <row r="54" spans="1:15" x14ac:dyDescent="0.25">
      <c r="A54" s="9" t="s">
        <v>152</v>
      </c>
      <c r="C54" s="14">
        <f>ROUND(O46+O45-O47,2)</f>
        <v>0</v>
      </c>
    </row>
    <row r="55" spans="1:15" x14ac:dyDescent="0.25">
      <c r="A55" s="9" t="s">
        <v>153</v>
      </c>
      <c r="C55" s="14">
        <f>O7+O8-O9-O10</f>
        <v>0</v>
      </c>
    </row>
    <row r="56" spans="1:15" x14ac:dyDescent="0.25">
      <c r="A56" s="9" t="s">
        <v>154</v>
      </c>
      <c r="C56" s="14">
        <f>ROUND(O16-O20-O32-O33,2)</f>
        <v>0</v>
      </c>
    </row>
    <row r="57" spans="1:15" x14ac:dyDescent="0.25">
      <c r="A57" s="9" t="s">
        <v>155</v>
      </c>
      <c r="C57" s="14">
        <f>ROUND(O33-O35-O37-O38,2)</f>
        <v>0</v>
      </c>
    </row>
    <row r="58" spans="1:15" x14ac:dyDescent="0.25">
      <c r="A58" s="9" t="s">
        <v>156</v>
      </c>
      <c r="C58" s="14">
        <f>SUMPRODUCT(--ISERROR(C5:O50))</f>
        <v>0</v>
      </c>
    </row>
  </sheetData>
  <mergeCells count="5">
    <mergeCell ref="A5:O5"/>
    <mergeCell ref="A13:O13"/>
    <mergeCell ref="A39:O39"/>
    <mergeCell ref="A48:O48"/>
    <mergeCell ref="A53:O53"/>
  </mergeCells>
  <pageMargins left="0.7" right="0.7" top="0.75" bottom="0.75" header="0.3" footer="0.3"/>
  <pageSetup paperSize="9" fitToHeight="0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2F5D8A"/>
    <pageSetUpPr fitToPage="1"/>
  </sheetPr>
  <dimension ref="A1:O58"/>
  <sheetViews>
    <sheetView showGridLines="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 x14ac:dyDescent="0.25"/>
  <cols>
    <col min="1" max="1" width="36.7109375" customWidth="1"/>
    <col min="2" max="2" width="11.7109375" customWidth="1"/>
    <col min="3" max="15" width="12.28515625" customWidth="1"/>
  </cols>
  <sheetData>
    <row r="1" spans="1:15" ht="23.25" x14ac:dyDescent="0.25">
      <c r="A1" s="1" t="s">
        <v>159</v>
      </c>
    </row>
    <row r="2" spans="1:15" x14ac:dyDescent="0.25">
      <c r="A2" s="2" t="s">
        <v>160</v>
      </c>
    </row>
    <row r="4" spans="1:15" x14ac:dyDescent="0.25">
      <c r="A4" s="7" t="s">
        <v>105</v>
      </c>
      <c r="B4" s="8" t="s">
        <v>3</v>
      </c>
      <c r="C4" s="8" t="s">
        <v>82</v>
      </c>
      <c r="D4" s="8" t="s">
        <v>83</v>
      </c>
      <c r="E4" s="8" t="s">
        <v>84</v>
      </c>
      <c r="F4" s="8" t="s">
        <v>85</v>
      </c>
      <c r="G4" s="8" t="s">
        <v>86</v>
      </c>
      <c r="H4" s="8" t="s">
        <v>87</v>
      </c>
      <c r="I4" s="8" t="s">
        <v>88</v>
      </c>
      <c r="J4" s="8" t="s">
        <v>89</v>
      </c>
      <c r="K4" s="8" t="s">
        <v>90</v>
      </c>
      <c r="L4" s="8" t="s">
        <v>91</v>
      </c>
      <c r="M4" s="8" t="s">
        <v>92</v>
      </c>
      <c r="N4" s="8" t="s">
        <v>93</v>
      </c>
      <c r="O4" s="8" t="s">
        <v>106</v>
      </c>
    </row>
    <row r="5" spans="1:15" x14ac:dyDescent="0.25">
      <c r="A5" s="41" t="s">
        <v>107</v>
      </c>
      <c r="B5" s="41"/>
      <c r="C5" s="41"/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</row>
    <row r="6" spans="1:15" x14ac:dyDescent="0.25">
      <c r="A6" s="13" t="s">
        <v>108</v>
      </c>
      <c r="B6" s="13" t="s">
        <v>109</v>
      </c>
      <c r="C6" s="24">
        <v>1</v>
      </c>
      <c r="D6" s="24">
        <v>2</v>
      </c>
      <c r="E6" s="24">
        <v>3</v>
      </c>
      <c r="F6" s="24">
        <v>4</v>
      </c>
      <c r="G6" s="24">
        <v>5</v>
      </c>
      <c r="H6" s="24">
        <v>6</v>
      </c>
      <c r="I6" s="24">
        <v>7</v>
      </c>
      <c r="J6" s="24">
        <v>8</v>
      </c>
      <c r="K6" s="24">
        <v>9</v>
      </c>
      <c r="L6" s="24">
        <v>10</v>
      </c>
      <c r="M6" s="24">
        <v>11</v>
      </c>
      <c r="N6" s="24">
        <v>12</v>
      </c>
    </row>
    <row r="7" spans="1:15" x14ac:dyDescent="0.25">
      <c r="A7" s="9" t="s">
        <v>110</v>
      </c>
      <c r="B7" s="13" t="s">
        <v>11</v>
      </c>
      <c r="C7" s="12">
        <f>Assumptions!$E$6</f>
        <v>420</v>
      </c>
      <c r="D7" s="12">
        <f t="shared" ref="D7:N7" si="0">C10</f>
        <v>430</v>
      </c>
      <c r="E7" s="12">
        <f t="shared" si="0"/>
        <v>440</v>
      </c>
      <c r="F7" s="12">
        <f t="shared" si="0"/>
        <v>450</v>
      </c>
      <c r="G7" s="12">
        <f t="shared" si="0"/>
        <v>459</v>
      </c>
      <c r="H7" s="12">
        <f t="shared" si="0"/>
        <v>468</v>
      </c>
      <c r="I7" s="12">
        <f t="shared" si="0"/>
        <v>478</v>
      </c>
      <c r="J7" s="12">
        <f t="shared" si="0"/>
        <v>488</v>
      </c>
      <c r="K7" s="12">
        <f t="shared" si="0"/>
        <v>497</v>
      </c>
      <c r="L7" s="12">
        <f t="shared" si="0"/>
        <v>506</v>
      </c>
      <c r="M7" s="12">
        <f t="shared" si="0"/>
        <v>515</v>
      </c>
      <c r="N7" s="12">
        <f t="shared" si="0"/>
        <v>524</v>
      </c>
      <c r="O7" s="12">
        <f>C7</f>
        <v>420</v>
      </c>
    </row>
    <row r="8" spans="1:15" x14ac:dyDescent="0.25">
      <c r="A8" s="9" t="s">
        <v>111</v>
      </c>
      <c r="B8" s="13" t="s">
        <v>11</v>
      </c>
      <c r="C8" s="12">
        <f>ROUND(Assumptions!$E$7*(1+Assumptions!$E$8)^(C6-1),0)</f>
        <v>21</v>
      </c>
      <c r="D8" s="12">
        <f>ROUND(Assumptions!$E$7*(1+Assumptions!$E$8)^(D6-1),0)</f>
        <v>21</v>
      </c>
      <c r="E8" s="12">
        <f>ROUND(Assumptions!$E$7*(1+Assumptions!$E$8)^(E6-1),0)</f>
        <v>21</v>
      </c>
      <c r="F8" s="12">
        <f>ROUND(Assumptions!$E$7*(1+Assumptions!$E$8)^(F6-1),0)</f>
        <v>21</v>
      </c>
      <c r="G8" s="12">
        <f>ROUND(Assumptions!$E$7*(1+Assumptions!$E$8)^(G6-1),0)</f>
        <v>21</v>
      </c>
      <c r="H8" s="12">
        <f>ROUND(Assumptions!$E$7*(1+Assumptions!$E$8)^(H6-1),0)</f>
        <v>22</v>
      </c>
      <c r="I8" s="12">
        <f>ROUND(Assumptions!$E$7*(1+Assumptions!$E$8)^(I6-1),0)</f>
        <v>22</v>
      </c>
      <c r="J8" s="12">
        <f>ROUND(Assumptions!$E$7*(1+Assumptions!$E$8)^(J6-1),0)</f>
        <v>22</v>
      </c>
      <c r="K8" s="12">
        <f>ROUND(Assumptions!$E$7*(1+Assumptions!$E$8)^(K6-1),0)</f>
        <v>22</v>
      </c>
      <c r="L8" s="12">
        <f>ROUND(Assumptions!$E$7*(1+Assumptions!$E$8)^(L6-1),0)</f>
        <v>22</v>
      </c>
      <c r="M8" s="12">
        <f>ROUND(Assumptions!$E$7*(1+Assumptions!$E$8)^(M6-1),0)</f>
        <v>22</v>
      </c>
      <c r="N8" s="12">
        <f>ROUND(Assumptions!$E$7*(1+Assumptions!$E$8)^(N6-1),0)</f>
        <v>22</v>
      </c>
      <c r="O8" s="12">
        <f>SUM(C8:N8)</f>
        <v>259</v>
      </c>
    </row>
    <row r="9" spans="1:15" x14ac:dyDescent="0.25">
      <c r="A9" s="9" t="s">
        <v>112</v>
      </c>
      <c r="B9" s="13" t="s">
        <v>11</v>
      </c>
      <c r="C9" s="12">
        <f>ROUND(C7*Assumptions!$E$9,0)</f>
        <v>11</v>
      </c>
      <c r="D9" s="12">
        <f>ROUND(D7*Assumptions!$E$9,0)</f>
        <v>11</v>
      </c>
      <c r="E9" s="12">
        <f>ROUND(E7*Assumptions!$E$9,0)</f>
        <v>11</v>
      </c>
      <c r="F9" s="12">
        <f>ROUND(F7*Assumptions!$E$9,0)</f>
        <v>12</v>
      </c>
      <c r="G9" s="12">
        <f>ROUND(G7*Assumptions!$E$9,0)</f>
        <v>12</v>
      </c>
      <c r="H9" s="12">
        <f>ROUND(H7*Assumptions!$E$9,0)</f>
        <v>12</v>
      </c>
      <c r="I9" s="12">
        <f>ROUND(I7*Assumptions!$E$9,0)</f>
        <v>12</v>
      </c>
      <c r="J9" s="12">
        <f>ROUND(J7*Assumptions!$E$9,0)</f>
        <v>13</v>
      </c>
      <c r="K9" s="12">
        <f>ROUND(K7*Assumptions!$E$9,0)</f>
        <v>13</v>
      </c>
      <c r="L9" s="12">
        <f>ROUND(L7*Assumptions!$E$9,0)</f>
        <v>13</v>
      </c>
      <c r="M9" s="12">
        <f>ROUND(M7*Assumptions!$E$9,0)</f>
        <v>13</v>
      </c>
      <c r="N9" s="12">
        <f>ROUND(N7*Assumptions!$E$9,0)</f>
        <v>14</v>
      </c>
      <c r="O9" s="12">
        <f>SUM(C9:N9)</f>
        <v>147</v>
      </c>
    </row>
    <row r="10" spans="1:15" x14ac:dyDescent="0.25">
      <c r="A10" s="3" t="s">
        <v>113</v>
      </c>
      <c r="B10" s="13" t="s">
        <v>11</v>
      </c>
      <c r="C10" s="17">
        <f t="shared" ref="C10:N10" si="1">C7+C8-C9</f>
        <v>430</v>
      </c>
      <c r="D10" s="17">
        <f t="shared" si="1"/>
        <v>440</v>
      </c>
      <c r="E10" s="17">
        <f t="shared" si="1"/>
        <v>450</v>
      </c>
      <c r="F10" s="17">
        <f t="shared" si="1"/>
        <v>459</v>
      </c>
      <c r="G10" s="17">
        <f t="shared" si="1"/>
        <v>468</v>
      </c>
      <c r="H10" s="17">
        <f t="shared" si="1"/>
        <v>478</v>
      </c>
      <c r="I10" s="17">
        <f t="shared" si="1"/>
        <v>488</v>
      </c>
      <c r="J10" s="17">
        <f t="shared" si="1"/>
        <v>497</v>
      </c>
      <c r="K10" s="17">
        <f t="shared" si="1"/>
        <v>506</v>
      </c>
      <c r="L10" s="17">
        <f t="shared" si="1"/>
        <v>515</v>
      </c>
      <c r="M10" s="17">
        <f t="shared" si="1"/>
        <v>524</v>
      </c>
      <c r="N10" s="17">
        <f t="shared" si="1"/>
        <v>532</v>
      </c>
      <c r="O10" s="17">
        <f>N10</f>
        <v>532</v>
      </c>
    </row>
    <row r="11" spans="1:15" x14ac:dyDescent="0.25">
      <c r="A11" s="9" t="s">
        <v>114</v>
      </c>
      <c r="B11" s="13" t="s">
        <v>11</v>
      </c>
      <c r="C11" s="14">
        <f t="shared" ref="C11:N11" si="2">(C7+C10)/2</f>
        <v>425</v>
      </c>
      <c r="D11" s="14">
        <f t="shared" si="2"/>
        <v>435</v>
      </c>
      <c r="E11" s="14">
        <f t="shared" si="2"/>
        <v>445</v>
      </c>
      <c r="F11" s="14">
        <f t="shared" si="2"/>
        <v>454.5</v>
      </c>
      <c r="G11" s="14">
        <f t="shared" si="2"/>
        <v>463.5</v>
      </c>
      <c r="H11" s="14">
        <f t="shared" si="2"/>
        <v>473</v>
      </c>
      <c r="I11" s="14">
        <f t="shared" si="2"/>
        <v>483</v>
      </c>
      <c r="J11" s="14">
        <f t="shared" si="2"/>
        <v>492.5</v>
      </c>
      <c r="K11" s="14">
        <f t="shared" si="2"/>
        <v>501.5</v>
      </c>
      <c r="L11" s="14">
        <f t="shared" si="2"/>
        <v>510.5</v>
      </c>
      <c r="M11" s="14">
        <f t="shared" si="2"/>
        <v>519.5</v>
      </c>
      <c r="N11" s="14">
        <f t="shared" si="2"/>
        <v>528</v>
      </c>
      <c r="O11" s="14">
        <f>AVERAGE(C11:N11)</f>
        <v>477.58333333333331</v>
      </c>
    </row>
    <row r="12" spans="1:15" x14ac:dyDescent="0.25">
      <c r="A12" s="9" t="s">
        <v>115</v>
      </c>
      <c r="B12" s="13" t="s">
        <v>116</v>
      </c>
      <c r="C12" s="28">
        <f>Assumptions!$E$10*IF(C6&gt;=Assumptions!$E$12,1+Assumptions!$E$11,1)</f>
        <v>295</v>
      </c>
      <c r="D12" s="28">
        <f>Assumptions!$E$10*IF(D6&gt;=Assumptions!$E$12,1+Assumptions!$E$11,1)</f>
        <v>295</v>
      </c>
      <c r="E12" s="28">
        <f>Assumptions!$E$10*IF(E6&gt;=Assumptions!$E$12,1+Assumptions!$E$11,1)</f>
        <v>295</v>
      </c>
      <c r="F12" s="28">
        <f>Assumptions!$E$10*IF(F6&gt;=Assumptions!$E$12,1+Assumptions!$E$11,1)</f>
        <v>295</v>
      </c>
      <c r="G12" s="28">
        <f>Assumptions!$E$10*IF(G6&gt;=Assumptions!$E$12,1+Assumptions!$E$11,1)</f>
        <v>295</v>
      </c>
      <c r="H12" s="28">
        <f>Assumptions!$E$10*IF(H6&gt;=Assumptions!$E$12,1+Assumptions!$E$11,1)</f>
        <v>295</v>
      </c>
      <c r="I12" s="28">
        <f>Assumptions!$E$10*IF(I6&gt;=Assumptions!$E$12,1+Assumptions!$E$11,1)</f>
        <v>300.89999999999998</v>
      </c>
      <c r="J12" s="28">
        <f>Assumptions!$E$10*IF(J6&gt;=Assumptions!$E$12,1+Assumptions!$E$11,1)</f>
        <v>300.89999999999998</v>
      </c>
      <c r="K12" s="28">
        <f>Assumptions!$E$10*IF(K6&gt;=Assumptions!$E$12,1+Assumptions!$E$11,1)</f>
        <v>300.89999999999998</v>
      </c>
      <c r="L12" s="28">
        <f>Assumptions!$E$10*IF(L6&gt;=Assumptions!$E$12,1+Assumptions!$E$11,1)</f>
        <v>300.89999999999998</v>
      </c>
      <c r="M12" s="28">
        <f>Assumptions!$E$10*IF(M6&gt;=Assumptions!$E$12,1+Assumptions!$E$11,1)</f>
        <v>300.89999999999998</v>
      </c>
      <c r="N12" s="28">
        <f>Assumptions!$E$10*IF(N6&gt;=Assumptions!$E$12,1+Assumptions!$E$11,1)</f>
        <v>300.89999999999998</v>
      </c>
      <c r="O12" s="28">
        <f>AVERAGE(C12:N12)</f>
        <v>297.95000000000005</v>
      </c>
    </row>
    <row r="13" spans="1:15" x14ac:dyDescent="0.25">
      <c r="A13" s="41" t="s">
        <v>117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</row>
    <row r="14" spans="1:15" x14ac:dyDescent="0.25">
      <c r="A14" s="9" t="s">
        <v>118</v>
      </c>
      <c r="B14" s="13" t="s">
        <v>119</v>
      </c>
      <c r="C14" s="10">
        <f t="shared" ref="C14:N14" si="3">C11*C12</f>
        <v>125375</v>
      </c>
      <c r="D14" s="10">
        <f t="shared" si="3"/>
        <v>128325</v>
      </c>
      <c r="E14" s="10">
        <f t="shared" si="3"/>
        <v>131275</v>
      </c>
      <c r="F14" s="10">
        <f t="shared" si="3"/>
        <v>134077.5</v>
      </c>
      <c r="G14" s="10">
        <f t="shared" si="3"/>
        <v>136732.5</v>
      </c>
      <c r="H14" s="10">
        <f t="shared" si="3"/>
        <v>139535</v>
      </c>
      <c r="I14" s="10">
        <f t="shared" si="3"/>
        <v>145334.69999999998</v>
      </c>
      <c r="J14" s="10">
        <f t="shared" si="3"/>
        <v>148193.25</v>
      </c>
      <c r="K14" s="10">
        <f t="shared" si="3"/>
        <v>150901.34999999998</v>
      </c>
      <c r="L14" s="10">
        <f t="shared" si="3"/>
        <v>153609.44999999998</v>
      </c>
      <c r="M14" s="10">
        <f t="shared" si="3"/>
        <v>156317.54999999999</v>
      </c>
      <c r="N14" s="10">
        <f t="shared" si="3"/>
        <v>158875.19999999998</v>
      </c>
      <c r="O14" s="10">
        <f t="shared" ref="O14:O21" si="4">SUM(C14:N14)</f>
        <v>1708551.4999999998</v>
      </c>
    </row>
    <row r="15" spans="1:15" x14ac:dyDescent="0.25">
      <c r="A15" s="9" t="s">
        <v>120</v>
      </c>
      <c r="B15" s="13" t="s">
        <v>119</v>
      </c>
      <c r="C15" s="10">
        <f>C8*Assumptions!$E$13</f>
        <v>9450</v>
      </c>
      <c r="D15" s="10">
        <f>D8*Assumptions!$E$13</f>
        <v>9450</v>
      </c>
      <c r="E15" s="10">
        <f>E8*Assumptions!$E$13</f>
        <v>9450</v>
      </c>
      <c r="F15" s="10">
        <f>F8*Assumptions!$E$13</f>
        <v>9450</v>
      </c>
      <c r="G15" s="10">
        <f>G8*Assumptions!$E$13</f>
        <v>9450</v>
      </c>
      <c r="H15" s="10">
        <f>H8*Assumptions!$E$13</f>
        <v>9900</v>
      </c>
      <c r="I15" s="10">
        <f>I8*Assumptions!$E$13</f>
        <v>9900</v>
      </c>
      <c r="J15" s="10">
        <f>J8*Assumptions!$E$13</f>
        <v>9900</v>
      </c>
      <c r="K15" s="10">
        <f>K8*Assumptions!$E$13</f>
        <v>9900</v>
      </c>
      <c r="L15" s="10">
        <f>L8*Assumptions!$E$13</f>
        <v>9900</v>
      </c>
      <c r="M15" s="10">
        <f>M8*Assumptions!$E$13</f>
        <v>9900</v>
      </c>
      <c r="N15" s="10">
        <f>N8*Assumptions!$E$13</f>
        <v>9900</v>
      </c>
      <c r="O15" s="10">
        <f t="shared" si="4"/>
        <v>116550</v>
      </c>
    </row>
    <row r="16" spans="1:15" x14ac:dyDescent="0.25">
      <c r="A16" s="3" t="s">
        <v>121</v>
      </c>
      <c r="B16" s="13" t="s">
        <v>119</v>
      </c>
      <c r="C16" s="21">
        <f t="shared" ref="C16:N16" si="5">C14+C15</f>
        <v>134825</v>
      </c>
      <c r="D16" s="21">
        <f t="shared" si="5"/>
        <v>137775</v>
      </c>
      <c r="E16" s="21">
        <f t="shared" si="5"/>
        <v>140725</v>
      </c>
      <c r="F16" s="21">
        <f t="shared" si="5"/>
        <v>143527.5</v>
      </c>
      <c r="G16" s="21">
        <f t="shared" si="5"/>
        <v>146182.5</v>
      </c>
      <c r="H16" s="21">
        <f t="shared" si="5"/>
        <v>149435</v>
      </c>
      <c r="I16" s="21">
        <f t="shared" si="5"/>
        <v>155234.69999999998</v>
      </c>
      <c r="J16" s="21">
        <f t="shared" si="5"/>
        <v>158093.25</v>
      </c>
      <c r="K16" s="21">
        <f t="shared" si="5"/>
        <v>160801.34999999998</v>
      </c>
      <c r="L16" s="21">
        <f t="shared" si="5"/>
        <v>163509.44999999998</v>
      </c>
      <c r="M16" s="21">
        <f t="shared" si="5"/>
        <v>166217.54999999999</v>
      </c>
      <c r="N16" s="21">
        <f t="shared" si="5"/>
        <v>168775.19999999998</v>
      </c>
      <c r="O16" s="21">
        <f t="shared" si="4"/>
        <v>1825101.4999999998</v>
      </c>
    </row>
    <row r="17" spans="1:15" x14ac:dyDescent="0.25">
      <c r="A17" s="9" t="s">
        <v>122</v>
      </c>
      <c r="B17" s="13" t="s">
        <v>119</v>
      </c>
      <c r="C17" s="10">
        <f>C11*Assumptions!$E$15</f>
        <v>6375</v>
      </c>
      <c r="D17" s="10">
        <f>D11*Assumptions!$E$15</f>
        <v>6525</v>
      </c>
      <c r="E17" s="10">
        <f>E11*Assumptions!$E$15</f>
        <v>6675</v>
      </c>
      <c r="F17" s="10">
        <f>F11*Assumptions!$E$15</f>
        <v>6817.5</v>
      </c>
      <c r="G17" s="10">
        <f>G11*Assumptions!$E$15</f>
        <v>6952.5</v>
      </c>
      <c r="H17" s="10">
        <f>H11*Assumptions!$E$15</f>
        <v>7095</v>
      </c>
      <c r="I17" s="10">
        <f>I11*Assumptions!$E$15</f>
        <v>7245</v>
      </c>
      <c r="J17" s="10">
        <f>J11*Assumptions!$E$15</f>
        <v>7387.5</v>
      </c>
      <c r="K17" s="10">
        <f>K11*Assumptions!$E$15</f>
        <v>7522.5</v>
      </c>
      <c r="L17" s="10">
        <f>L11*Assumptions!$E$15</f>
        <v>7657.5</v>
      </c>
      <c r="M17" s="10">
        <f>M11*Assumptions!$E$15</f>
        <v>7792.5</v>
      </c>
      <c r="N17" s="10">
        <f>N11*Assumptions!$E$15</f>
        <v>7920</v>
      </c>
      <c r="O17" s="10">
        <f t="shared" si="4"/>
        <v>85965</v>
      </c>
    </row>
    <row r="18" spans="1:15" x14ac:dyDescent="0.25">
      <c r="A18" s="9" t="s">
        <v>123</v>
      </c>
      <c r="B18" s="13" t="s">
        <v>119</v>
      </c>
      <c r="C18" s="10">
        <f>C11*Assumptions!$E$16</f>
        <v>5100</v>
      </c>
      <c r="D18" s="10">
        <f>D11*Assumptions!$E$16</f>
        <v>5220</v>
      </c>
      <c r="E18" s="10">
        <f>E11*Assumptions!$E$16</f>
        <v>5340</v>
      </c>
      <c r="F18" s="10">
        <f>F11*Assumptions!$E$16</f>
        <v>5454</v>
      </c>
      <c r="G18" s="10">
        <f>G11*Assumptions!$E$16</f>
        <v>5562</v>
      </c>
      <c r="H18" s="10">
        <f>H11*Assumptions!$E$16</f>
        <v>5676</v>
      </c>
      <c r="I18" s="10">
        <f>I11*Assumptions!$E$16</f>
        <v>5796</v>
      </c>
      <c r="J18" s="10">
        <f>J11*Assumptions!$E$16</f>
        <v>5910</v>
      </c>
      <c r="K18" s="10">
        <f>K11*Assumptions!$E$16</f>
        <v>6018</v>
      </c>
      <c r="L18" s="10">
        <f>L11*Assumptions!$E$16</f>
        <v>6126</v>
      </c>
      <c r="M18" s="10">
        <f>M11*Assumptions!$E$16</f>
        <v>6234</v>
      </c>
      <c r="N18" s="10">
        <f>N11*Assumptions!$E$16</f>
        <v>6336</v>
      </c>
      <c r="O18" s="10">
        <f t="shared" si="4"/>
        <v>68772</v>
      </c>
    </row>
    <row r="19" spans="1:15" x14ac:dyDescent="0.25">
      <c r="A19" s="9" t="s">
        <v>124</v>
      </c>
      <c r="B19" s="13" t="s">
        <v>119</v>
      </c>
      <c r="C19" s="10">
        <f>C16*Assumptions!$E$17</f>
        <v>2022.375</v>
      </c>
      <c r="D19" s="10">
        <f>D16*Assumptions!$E$17</f>
        <v>2066.625</v>
      </c>
      <c r="E19" s="10">
        <f>E16*Assumptions!$E$17</f>
        <v>2110.875</v>
      </c>
      <c r="F19" s="10">
        <f>F16*Assumptions!$E$17</f>
        <v>2152.9124999999999</v>
      </c>
      <c r="G19" s="10">
        <f>G16*Assumptions!$E$17</f>
        <v>2192.7374999999997</v>
      </c>
      <c r="H19" s="10">
        <f>H16*Assumptions!$E$17</f>
        <v>2241.5250000000001</v>
      </c>
      <c r="I19" s="10">
        <f>I16*Assumptions!$E$17</f>
        <v>2328.5204999999996</v>
      </c>
      <c r="J19" s="10">
        <f>J16*Assumptions!$E$17</f>
        <v>2371.3987499999998</v>
      </c>
      <c r="K19" s="10">
        <f>K16*Assumptions!$E$17</f>
        <v>2412.0202499999996</v>
      </c>
      <c r="L19" s="10">
        <f>L16*Assumptions!$E$17</f>
        <v>2452.6417499999998</v>
      </c>
      <c r="M19" s="10">
        <f>M16*Assumptions!$E$17</f>
        <v>2493.2632499999995</v>
      </c>
      <c r="N19" s="10">
        <f>N16*Assumptions!$E$17</f>
        <v>2531.6279999999997</v>
      </c>
      <c r="O19" s="10">
        <f t="shared" si="4"/>
        <v>27376.522499999995</v>
      </c>
    </row>
    <row r="20" spans="1:15" x14ac:dyDescent="0.25">
      <c r="A20" s="3" t="s">
        <v>125</v>
      </c>
      <c r="B20" s="13" t="s">
        <v>119</v>
      </c>
      <c r="C20" s="21">
        <f t="shared" ref="C20:N20" si="6">C17+C18+C19</f>
        <v>13497.375</v>
      </c>
      <c r="D20" s="21">
        <f t="shared" si="6"/>
        <v>13811.625</v>
      </c>
      <c r="E20" s="21">
        <f t="shared" si="6"/>
        <v>14125.875</v>
      </c>
      <c r="F20" s="21">
        <f t="shared" si="6"/>
        <v>14424.4125</v>
      </c>
      <c r="G20" s="21">
        <f t="shared" si="6"/>
        <v>14707.237499999999</v>
      </c>
      <c r="H20" s="21">
        <f t="shared" si="6"/>
        <v>15012.525</v>
      </c>
      <c r="I20" s="21">
        <f t="shared" si="6"/>
        <v>15369.520499999999</v>
      </c>
      <c r="J20" s="21">
        <f t="shared" si="6"/>
        <v>15668.89875</v>
      </c>
      <c r="K20" s="21">
        <f t="shared" si="6"/>
        <v>15952.52025</v>
      </c>
      <c r="L20" s="21">
        <f t="shared" si="6"/>
        <v>16236.141749999999</v>
      </c>
      <c r="M20" s="21">
        <f t="shared" si="6"/>
        <v>16519.76325</v>
      </c>
      <c r="N20" s="21">
        <f t="shared" si="6"/>
        <v>16787.628000000001</v>
      </c>
      <c r="O20" s="21">
        <f t="shared" si="4"/>
        <v>182113.52249999999</v>
      </c>
    </row>
    <row r="21" spans="1:15" x14ac:dyDescent="0.25">
      <c r="A21" s="3" t="s">
        <v>126</v>
      </c>
      <c r="B21" s="13" t="s">
        <v>119</v>
      </c>
      <c r="C21" s="21">
        <f t="shared" ref="C21:N21" si="7">C16-C20</f>
        <v>121327.625</v>
      </c>
      <c r="D21" s="21">
        <f t="shared" si="7"/>
        <v>123963.375</v>
      </c>
      <c r="E21" s="21">
        <f t="shared" si="7"/>
        <v>126599.125</v>
      </c>
      <c r="F21" s="21">
        <f t="shared" si="7"/>
        <v>129103.08749999999</v>
      </c>
      <c r="G21" s="21">
        <f t="shared" si="7"/>
        <v>131475.26250000001</v>
      </c>
      <c r="H21" s="21">
        <f t="shared" si="7"/>
        <v>134422.47500000001</v>
      </c>
      <c r="I21" s="21">
        <f t="shared" si="7"/>
        <v>139865.17949999997</v>
      </c>
      <c r="J21" s="21">
        <f t="shared" si="7"/>
        <v>142424.35125000001</v>
      </c>
      <c r="K21" s="21">
        <f t="shared" si="7"/>
        <v>144848.82974999998</v>
      </c>
      <c r="L21" s="21">
        <f t="shared" si="7"/>
        <v>147273.30824999997</v>
      </c>
      <c r="M21" s="21">
        <f t="shared" si="7"/>
        <v>149697.78675</v>
      </c>
      <c r="N21" s="21">
        <f t="shared" si="7"/>
        <v>151987.57199999999</v>
      </c>
      <c r="O21" s="21">
        <f t="shared" si="4"/>
        <v>1642987.9775</v>
      </c>
    </row>
    <row r="22" spans="1:15" x14ac:dyDescent="0.25">
      <c r="A22" s="13" t="s">
        <v>127</v>
      </c>
      <c r="B22" s="13" t="s">
        <v>25</v>
      </c>
      <c r="C22" s="31">
        <f t="shared" ref="C22:O22" si="8">IFERROR(C21/C16,0)</f>
        <v>0.89988967179677359</v>
      </c>
      <c r="D22" s="31">
        <f t="shared" si="8"/>
        <v>0.89975231355470875</v>
      </c>
      <c r="E22" s="31">
        <f t="shared" si="8"/>
        <v>0.89962071415882039</v>
      </c>
      <c r="F22" s="31">
        <f t="shared" si="8"/>
        <v>0.89950070543972405</v>
      </c>
      <c r="G22" s="31">
        <f t="shared" si="8"/>
        <v>0.89939125750346327</v>
      </c>
      <c r="H22" s="31">
        <f t="shared" si="8"/>
        <v>0.89953809348546199</v>
      </c>
      <c r="I22" s="31">
        <f t="shared" si="8"/>
        <v>0.90099172092322133</v>
      </c>
      <c r="J22" s="31">
        <f t="shared" si="8"/>
        <v>0.90088824949831825</v>
      </c>
      <c r="K22" s="31">
        <f t="shared" si="8"/>
        <v>0.9007936174043315</v>
      </c>
      <c r="L22" s="31">
        <f t="shared" si="8"/>
        <v>0.90070211996921268</v>
      </c>
      <c r="M22" s="31">
        <f t="shared" si="8"/>
        <v>0.90061360397864132</v>
      </c>
      <c r="N22" s="31">
        <f t="shared" si="8"/>
        <v>0.90053261379633975</v>
      </c>
      <c r="O22" s="31">
        <f t="shared" si="8"/>
        <v>0.90021731805053051</v>
      </c>
    </row>
    <row r="23" spans="1:15" x14ac:dyDescent="0.25">
      <c r="A23" s="13" t="s">
        <v>42</v>
      </c>
      <c r="B23" s="13" t="s">
        <v>43</v>
      </c>
      <c r="C23" s="24">
        <f>Assumptions!$E$19</f>
        <v>24</v>
      </c>
      <c r="D23" s="24">
        <f t="shared" ref="D23:N23" si="9">C25</f>
        <v>24</v>
      </c>
      <c r="E23" s="24">
        <f t="shared" si="9"/>
        <v>24</v>
      </c>
      <c r="F23" s="24">
        <f t="shared" si="9"/>
        <v>25</v>
      </c>
      <c r="G23" s="24">
        <f t="shared" si="9"/>
        <v>25</v>
      </c>
      <c r="H23" s="24">
        <f t="shared" si="9"/>
        <v>25</v>
      </c>
      <c r="I23" s="24">
        <f t="shared" si="9"/>
        <v>26</v>
      </c>
      <c r="J23" s="24">
        <f t="shared" si="9"/>
        <v>26</v>
      </c>
      <c r="K23" s="24">
        <f t="shared" si="9"/>
        <v>26</v>
      </c>
      <c r="L23" s="24">
        <f t="shared" si="9"/>
        <v>26</v>
      </c>
      <c r="M23" s="24">
        <f t="shared" si="9"/>
        <v>26</v>
      </c>
      <c r="N23" s="24">
        <f t="shared" si="9"/>
        <v>26</v>
      </c>
      <c r="O23" s="24">
        <f>C23</f>
        <v>24</v>
      </c>
    </row>
    <row r="24" spans="1:15" x14ac:dyDescent="0.25">
      <c r="A24" s="13" t="s">
        <v>128</v>
      </c>
      <c r="B24" s="13" t="s">
        <v>43</v>
      </c>
      <c r="C24" s="24">
        <f>Assumptions!C41</f>
        <v>0</v>
      </c>
      <c r="D24" s="24">
        <f>Assumptions!D41</f>
        <v>0</v>
      </c>
      <c r="E24" s="24">
        <f>Assumptions!E41</f>
        <v>1</v>
      </c>
      <c r="F24" s="24">
        <f>Assumptions!F41</f>
        <v>0</v>
      </c>
      <c r="G24" s="24">
        <f>Assumptions!G41</f>
        <v>0</v>
      </c>
      <c r="H24" s="24">
        <f>Assumptions!H41</f>
        <v>1</v>
      </c>
      <c r="I24" s="24">
        <f>Assumptions!I41</f>
        <v>0</v>
      </c>
      <c r="J24" s="24">
        <f>Assumptions!J41</f>
        <v>0</v>
      </c>
      <c r="K24" s="24">
        <f>Assumptions!K41</f>
        <v>0</v>
      </c>
      <c r="L24" s="24">
        <f>Assumptions!L41</f>
        <v>0</v>
      </c>
      <c r="M24" s="24">
        <f>Assumptions!M41</f>
        <v>0</v>
      </c>
      <c r="N24" s="24">
        <f>Assumptions!N41</f>
        <v>0</v>
      </c>
      <c r="O24" s="24">
        <f>SUM(C24:N24)</f>
        <v>2</v>
      </c>
    </row>
    <row r="25" spans="1:15" x14ac:dyDescent="0.25">
      <c r="A25" s="13" t="s">
        <v>129</v>
      </c>
      <c r="B25" s="13" t="s">
        <v>43</v>
      </c>
      <c r="C25" s="24">
        <f t="shared" ref="C25:N25" si="10">C23+C24</f>
        <v>24</v>
      </c>
      <c r="D25" s="24">
        <f t="shared" si="10"/>
        <v>24</v>
      </c>
      <c r="E25" s="24">
        <f t="shared" si="10"/>
        <v>25</v>
      </c>
      <c r="F25" s="24">
        <f t="shared" si="10"/>
        <v>25</v>
      </c>
      <c r="G25" s="24">
        <f t="shared" si="10"/>
        <v>25</v>
      </c>
      <c r="H25" s="24">
        <f t="shared" si="10"/>
        <v>26</v>
      </c>
      <c r="I25" s="24">
        <f t="shared" si="10"/>
        <v>26</v>
      </c>
      <c r="J25" s="24">
        <f t="shared" si="10"/>
        <v>26</v>
      </c>
      <c r="K25" s="24">
        <f t="shared" si="10"/>
        <v>26</v>
      </c>
      <c r="L25" s="24">
        <f t="shared" si="10"/>
        <v>26</v>
      </c>
      <c r="M25" s="24">
        <f t="shared" si="10"/>
        <v>26</v>
      </c>
      <c r="N25" s="24">
        <f t="shared" si="10"/>
        <v>26</v>
      </c>
      <c r="O25" s="24">
        <f>N25</f>
        <v>26</v>
      </c>
    </row>
    <row r="26" spans="1:15" x14ac:dyDescent="0.25">
      <c r="A26" s="9" t="s">
        <v>130</v>
      </c>
      <c r="B26" s="13" t="s">
        <v>119</v>
      </c>
      <c r="C26" s="10">
        <f>C25*Assumptions!$E$20/12*(1+Assumptions!$E$21)</f>
        <v>122720</v>
      </c>
      <c r="D26" s="10">
        <f>D25*Assumptions!$E$20/12*(1+Assumptions!$E$21)</f>
        <v>122720</v>
      </c>
      <c r="E26" s="10">
        <f>E25*Assumptions!$E$20/12*(1+Assumptions!$E$21)</f>
        <v>127833.33333333331</v>
      </c>
      <c r="F26" s="10">
        <f>F25*Assumptions!$E$20/12*(1+Assumptions!$E$21)</f>
        <v>127833.33333333331</v>
      </c>
      <c r="G26" s="10">
        <f>G25*Assumptions!$E$20/12*(1+Assumptions!$E$21)</f>
        <v>127833.33333333331</v>
      </c>
      <c r="H26" s="10">
        <f>H25*Assumptions!$E$20/12*(1+Assumptions!$E$21)</f>
        <v>132946.66666666666</v>
      </c>
      <c r="I26" s="10">
        <f>I25*Assumptions!$E$20/12*(1+Assumptions!$E$21)</f>
        <v>132946.66666666666</v>
      </c>
      <c r="J26" s="10">
        <f>J25*Assumptions!$E$20/12*(1+Assumptions!$E$21)</f>
        <v>132946.66666666666</v>
      </c>
      <c r="K26" s="10">
        <f>K25*Assumptions!$E$20/12*(1+Assumptions!$E$21)</f>
        <v>132946.66666666666</v>
      </c>
      <c r="L26" s="10">
        <f>L25*Assumptions!$E$20/12*(1+Assumptions!$E$21)</f>
        <v>132946.66666666666</v>
      </c>
      <c r="M26" s="10">
        <f>M25*Assumptions!$E$20/12*(1+Assumptions!$E$21)</f>
        <v>132946.66666666666</v>
      </c>
      <c r="N26" s="10">
        <f>N25*Assumptions!$E$20/12*(1+Assumptions!$E$21)</f>
        <v>132946.66666666666</v>
      </c>
      <c r="O26" s="10">
        <f t="shared" ref="O26:O33" si="11">SUM(C26:N26)</f>
        <v>1559566.6666666667</v>
      </c>
    </row>
    <row r="27" spans="1:15" x14ac:dyDescent="0.25">
      <c r="A27" s="9" t="s">
        <v>131</v>
      </c>
      <c r="B27" s="13" t="s">
        <v>119</v>
      </c>
      <c r="C27" s="10">
        <f>C8*Assumptions!$E$22</f>
        <v>14700</v>
      </c>
      <c r="D27" s="10">
        <f>D8*Assumptions!$E$22</f>
        <v>14700</v>
      </c>
      <c r="E27" s="10">
        <f>E8*Assumptions!$E$22</f>
        <v>14700</v>
      </c>
      <c r="F27" s="10">
        <f>F8*Assumptions!$E$22</f>
        <v>14700</v>
      </c>
      <c r="G27" s="10">
        <f>G8*Assumptions!$E$22</f>
        <v>14700</v>
      </c>
      <c r="H27" s="10">
        <f>H8*Assumptions!$E$22</f>
        <v>15400</v>
      </c>
      <c r="I27" s="10">
        <f>I8*Assumptions!$E$22</f>
        <v>15400</v>
      </c>
      <c r="J27" s="10">
        <f>J8*Assumptions!$E$22</f>
        <v>15400</v>
      </c>
      <c r="K27" s="10">
        <f>K8*Assumptions!$E$22</f>
        <v>15400</v>
      </c>
      <c r="L27" s="10">
        <f>L8*Assumptions!$E$22</f>
        <v>15400</v>
      </c>
      <c r="M27" s="10">
        <f>M8*Assumptions!$E$22</f>
        <v>15400</v>
      </c>
      <c r="N27" s="10">
        <f>N8*Assumptions!$E$22</f>
        <v>15400</v>
      </c>
      <c r="O27" s="10">
        <f t="shared" si="11"/>
        <v>181300</v>
      </c>
    </row>
    <row r="28" spans="1:15" x14ac:dyDescent="0.25">
      <c r="A28" s="9" t="s">
        <v>132</v>
      </c>
      <c r="B28" s="13" t="s">
        <v>119</v>
      </c>
      <c r="C28" s="10">
        <f>C25*Assumptions!$E$23</f>
        <v>4320</v>
      </c>
      <c r="D28" s="10">
        <f>D25*Assumptions!$E$23</f>
        <v>4320</v>
      </c>
      <c r="E28" s="10">
        <f>E25*Assumptions!$E$23</f>
        <v>4500</v>
      </c>
      <c r="F28" s="10">
        <f>F25*Assumptions!$E$23</f>
        <v>4500</v>
      </c>
      <c r="G28" s="10">
        <f>G25*Assumptions!$E$23</f>
        <v>4500</v>
      </c>
      <c r="H28" s="10">
        <f>H25*Assumptions!$E$23</f>
        <v>4680</v>
      </c>
      <c r="I28" s="10">
        <f>I25*Assumptions!$E$23</f>
        <v>4680</v>
      </c>
      <c r="J28" s="10">
        <f>J25*Assumptions!$E$23</f>
        <v>4680</v>
      </c>
      <c r="K28" s="10">
        <f>K25*Assumptions!$E$23</f>
        <v>4680</v>
      </c>
      <c r="L28" s="10">
        <f>L25*Assumptions!$E$23</f>
        <v>4680</v>
      </c>
      <c r="M28" s="10">
        <f>M25*Assumptions!$E$23</f>
        <v>4680</v>
      </c>
      <c r="N28" s="10">
        <f>N25*Assumptions!$E$23</f>
        <v>4680</v>
      </c>
      <c r="O28" s="10">
        <f t="shared" si="11"/>
        <v>54900</v>
      </c>
    </row>
    <row r="29" spans="1:15" x14ac:dyDescent="0.25">
      <c r="A29" s="9" t="s">
        <v>56</v>
      </c>
      <c r="B29" s="13" t="s">
        <v>119</v>
      </c>
      <c r="C29" s="10">
        <f>Assumptions!$E$24</f>
        <v>9500</v>
      </c>
      <c r="D29" s="10">
        <f>Assumptions!$E$24</f>
        <v>9500</v>
      </c>
      <c r="E29" s="10">
        <f>Assumptions!$E$24</f>
        <v>9500</v>
      </c>
      <c r="F29" s="10">
        <f>Assumptions!$E$24</f>
        <v>9500</v>
      </c>
      <c r="G29" s="10">
        <f>Assumptions!$E$24</f>
        <v>9500</v>
      </c>
      <c r="H29" s="10">
        <f>Assumptions!$E$24</f>
        <v>9500</v>
      </c>
      <c r="I29" s="10">
        <f>Assumptions!$E$24</f>
        <v>9500</v>
      </c>
      <c r="J29" s="10">
        <f>Assumptions!$E$24</f>
        <v>9500</v>
      </c>
      <c r="K29" s="10">
        <f>Assumptions!$E$24</f>
        <v>9500</v>
      </c>
      <c r="L29" s="10">
        <f>Assumptions!$E$24</f>
        <v>9500</v>
      </c>
      <c r="M29" s="10">
        <f>Assumptions!$E$24</f>
        <v>9500</v>
      </c>
      <c r="N29" s="10">
        <f>Assumptions!$E$24</f>
        <v>9500</v>
      </c>
      <c r="O29" s="10">
        <f t="shared" si="11"/>
        <v>114000</v>
      </c>
    </row>
    <row r="30" spans="1:15" x14ac:dyDescent="0.25">
      <c r="A30" s="9" t="s">
        <v>58</v>
      </c>
      <c r="B30" s="13" t="s">
        <v>119</v>
      </c>
      <c r="C30" s="10">
        <f>Assumptions!$E$25</f>
        <v>4200</v>
      </c>
      <c r="D30" s="10">
        <f>Assumptions!$E$25</f>
        <v>4200</v>
      </c>
      <c r="E30" s="10">
        <f>Assumptions!$E$25</f>
        <v>4200</v>
      </c>
      <c r="F30" s="10">
        <f>Assumptions!$E$25</f>
        <v>4200</v>
      </c>
      <c r="G30" s="10">
        <f>Assumptions!$E$25</f>
        <v>4200</v>
      </c>
      <c r="H30" s="10">
        <f>Assumptions!$E$25</f>
        <v>4200</v>
      </c>
      <c r="I30" s="10">
        <f>Assumptions!$E$25</f>
        <v>4200</v>
      </c>
      <c r="J30" s="10">
        <f>Assumptions!$E$25</f>
        <v>4200</v>
      </c>
      <c r="K30" s="10">
        <f>Assumptions!$E$25</f>
        <v>4200</v>
      </c>
      <c r="L30" s="10">
        <f>Assumptions!$E$25</f>
        <v>4200</v>
      </c>
      <c r="M30" s="10">
        <f>Assumptions!$E$25</f>
        <v>4200</v>
      </c>
      <c r="N30" s="10">
        <f>Assumptions!$E$25</f>
        <v>4200</v>
      </c>
      <c r="O30" s="10">
        <f t="shared" si="11"/>
        <v>50400</v>
      </c>
    </row>
    <row r="31" spans="1:15" x14ac:dyDescent="0.25">
      <c r="A31" s="9" t="s">
        <v>60</v>
      </c>
      <c r="B31" s="13" t="s">
        <v>119</v>
      </c>
      <c r="C31" s="10">
        <f>Assumptions!$E$26</f>
        <v>6000</v>
      </c>
      <c r="D31" s="10">
        <f>Assumptions!$E$26</f>
        <v>6000</v>
      </c>
      <c r="E31" s="10">
        <f>Assumptions!$E$26</f>
        <v>6000</v>
      </c>
      <c r="F31" s="10">
        <f>Assumptions!$E$26</f>
        <v>6000</v>
      </c>
      <c r="G31" s="10">
        <f>Assumptions!$E$26</f>
        <v>6000</v>
      </c>
      <c r="H31" s="10">
        <f>Assumptions!$E$26</f>
        <v>6000</v>
      </c>
      <c r="I31" s="10">
        <f>Assumptions!$E$26</f>
        <v>6000</v>
      </c>
      <c r="J31" s="10">
        <f>Assumptions!$E$26</f>
        <v>6000</v>
      </c>
      <c r="K31" s="10">
        <f>Assumptions!$E$26</f>
        <v>6000</v>
      </c>
      <c r="L31" s="10">
        <f>Assumptions!$E$26</f>
        <v>6000</v>
      </c>
      <c r="M31" s="10">
        <f>Assumptions!$E$26</f>
        <v>6000</v>
      </c>
      <c r="N31" s="10">
        <f>Assumptions!$E$26</f>
        <v>6000</v>
      </c>
      <c r="O31" s="10">
        <f t="shared" si="11"/>
        <v>72000</v>
      </c>
    </row>
    <row r="32" spans="1:15" x14ac:dyDescent="0.25">
      <c r="A32" s="3" t="s">
        <v>133</v>
      </c>
      <c r="B32" s="13" t="s">
        <v>119</v>
      </c>
      <c r="C32" s="21">
        <f t="shared" ref="C32:N32" si="12">C26+C27+C28+C29+C30+C31</f>
        <v>161440</v>
      </c>
      <c r="D32" s="21">
        <f t="shared" si="12"/>
        <v>161440</v>
      </c>
      <c r="E32" s="21">
        <f t="shared" si="12"/>
        <v>166733.33333333331</v>
      </c>
      <c r="F32" s="21">
        <f t="shared" si="12"/>
        <v>166733.33333333331</v>
      </c>
      <c r="G32" s="21">
        <f t="shared" si="12"/>
        <v>166733.33333333331</v>
      </c>
      <c r="H32" s="21">
        <f t="shared" si="12"/>
        <v>172726.66666666666</v>
      </c>
      <c r="I32" s="21">
        <f t="shared" si="12"/>
        <v>172726.66666666666</v>
      </c>
      <c r="J32" s="21">
        <f t="shared" si="12"/>
        <v>172726.66666666666</v>
      </c>
      <c r="K32" s="21">
        <f t="shared" si="12"/>
        <v>172726.66666666666</v>
      </c>
      <c r="L32" s="21">
        <f t="shared" si="12"/>
        <v>172726.66666666666</v>
      </c>
      <c r="M32" s="21">
        <f t="shared" si="12"/>
        <v>172726.66666666666</v>
      </c>
      <c r="N32" s="21">
        <f t="shared" si="12"/>
        <v>172726.66666666666</v>
      </c>
      <c r="O32" s="21">
        <f t="shared" si="11"/>
        <v>2032166.666666667</v>
      </c>
    </row>
    <row r="33" spans="1:15" x14ac:dyDescent="0.25">
      <c r="A33" s="22" t="s">
        <v>134</v>
      </c>
      <c r="B33" s="13" t="s">
        <v>119</v>
      </c>
      <c r="C33" s="23">
        <f t="shared" ref="C33:N33" si="13">C21-C32</f>
        <v>-40112.375</v>
      </c>
      <c r="D33" s="23">
        <f t="shared" si="13"/>
        <v>-37476.625</v>
      </c>
      <c r="E33" s="23">
        <f t="shared" si="13"/>
        <v>-40134.208333333314</v>
      </c>
      <c r="F33" s="23">
        <f t="shared" si="13"/>
        <v>-37630.24583333332</v>
      </c>
      <c r="G33" s="23">
        <f t="shared" si="13"/>
        <v>-35258.070833333302</v>
      </c>
      <c r="H33" s="23">
        <f t="shared" si="13"/>
        <v>-38304.191666666651</v>
      </c>
      <c r="I33" s="23">
        <f t="shared" si="13"/>
        <v>-32861.487166666688</v>
      </c>
      <c r="J33" s="23">
        <f t="shared" si="13"/>
        <v>-30302.31541666665</v>
      </c>
      <c r="K33" s="23">
        <f t="shared" si="13"/>
        <v>-27877.836916666682</v>
      </c>
      <c r="L33" s="23">
        <f t="shared" si="13"/>
        <v>-25453.358416666684</v>
      </c>
      <c r="M33" s="23">
        <f t="shared" si="13"/>
        <v>-23028.879916666658</v>
      </c>
      <c r="N33" s="23">
        <f t="shared" si="13"/>
        <v>-20739.094666666671</v>
      </c>
      <c r="O33" s="23">
        <f t="shared" si="11"/>
        <v>-389178.68916666659</v>
      </c>
    </row>
    <row r="34" spans="1:15" x14ac:dyDescent="0.25">
      <c r="A34" s="13" t="s">
        <v>135</v>
      </c>
      <c r="B34" s="13" t="s">
        <v>25</v>
      </c>
      <c r="C34" s="31">
        <f t="shared" ref="C34:O34" si="14">IFERROR(C33/C16,0)</f>
        <v>-0.2975143704802522</v>
      </c>
      <c r="D34" s="31">
        <f t="shared" si="14"/>
        <v>-0.27201324623480311</v>
      </c>
      <c r="E34" s="31">
        <f t="shared" si="14"/>
        <v>-0.28519600876413798</v>
      </c>
      <c r="F34" s="31">
        <f t="shared" si="14"/>
        <v>-0.26218143445216646</v>
      </c>
      <c r="G34" s="31">
        <f t="shared" si="14"/>
        <v>-0.2411921456626703</v>
      </c>
      <c r="H34" s="31">
        <f t="shared" si="14"/>
        <v>-0.25632677529806708</v>
      </c>
      <c r="I34" s="31">
        <f t="shared" si="14"/>
        <v>-0.2116890564201605</v>
      </c>
      <c r="J34" s="31">
        <f t="shared" si="14"/>
        <v>-0.19167368256814665</v>
      </c>
      <c r="K34" s="31">
        <f t="shared" si="14"/>
        <v>-0.1733681770499233</v>
      </c>
      <c r="L34" s="31">
        <f t="shared" si="14"/>
        <v>-0.15566903574482507</v>
      </c>
      <c r="M34" s="31">
        <f t="shared" si="14"/>
        <v>-0.13854662107982377</v>
      </c>
      <c r="N34" s="31">
        <f t="shared" si="14"/>
        <v>-0.12287998868712154</v>
      </c>
      <c r="O34" s="31">
        <f t="shared" si="14"/>
        <v>-0.21323673733579565</v>
      </c>
    </row>
    <row r="35" spans="1:15" x14ac:dyDescent="0.25">
      <c r="A35" s="9" t="s">
        <v>136</v>
      </c>
      <c r="B35" s="13" t="s">
        <v>119</v>
      </c>
      <c r="C35" s="10">
        <f>Assumptions!$E$30+Assumptions!$E$28*(C6-1)/Assumptions!$E$29</f>
        <v>4500</v>
      </c>
      <c r="D35" s="10">
        <f>Assumptions!$E$30+Assumptions!$E$28*(D6-1)/Assumptions!$E$29</f>
        <v>4722.2222222222226</v>
      </c>
      <c r="E35" s="10">
        <f>Assumptions!$E$30+Assumptions!$E$28*(E6-1)/Assumptions!$E$29</f>
        <v>4944.4444444444443</v>
      </c>
      <c r="F35" s="10">
        <f>Assumptions!$E$30+Assumptions!$E$28*(F6-1)/Assumptions!$E$29</f>
        <v>5166.666666666667</v>
      </c>
      <c r="G35" s="10">
        <f>Assumptions!$E$30+Assumptions!$E$28*(G6-1)/Assumptions!$E$29</f>
        <v>5388.8888888888887</v>
      </c>
      <c r="H35" s="10">
        <f>Assumptions!$E$30+Assumptions!$E$28*(H6-1)/Assumptions!$E$29</f>
        <v>5611.1111111111113</v>
      </c>
      <c r="I35" s="10">
        <f>Assumptions!$E$30+Assumptions!$E$28*(I6-1)/Assumptions!$E$29</f>
        <v>5833.333333333333</v>
      </c>
      <c r="J35" s="10">
        <f>Assumptions!$E$30+Assumptions!$E$28*(J6-1)/Assumptions!$E$29</f>
        <v>6055.5555555555557</v>
      </c>
      <c r="K35" s="10">
        <f>Assumptions!$E$30+Assumptions!$E$28*(K6-1)/Assumptions!$E$29</f>
        <v>6277.7777777777774</v>
      </c>
      <c r="L35" s="10">
        <f>Assumptions!$E$30+Assumptions!$E$28*(L6-1)/Assumptions!$E$29</f>
        <v>6500</v>
      </c>
      <c r="M35" s="10">
        <f>Assumptions!$E$30+Assumptions!$E$28*(M6-1)/Assumptions!$E$29</f>
        <v>6722.2222222222226</v>
      </c>
      <c r="N35" s="10">
        <f>Assumptions!$E$30+Assumptions!$E$28*(N6-1)/Assumptions!$E$29</f>
        <v>6944.4444444444443</v>
      </c>
      <c r="O35" s="10">
        <f>SUM(C35:N35)</f>
        <v>68666.666666666657</v>
      </c>
    </row>
    <row r="36" spans="1:15" x14ac:dyDescent="0.25">
      <c r="A36" s="3" t="s">
        <v>137</v>
      </c>
      <c r="B36" s="13" t="s">
        <v>119</v>
      </c>
      <c r="C36" s="21">
        <f t="shared" ref="C36:N36" si="15">C33-C35</f>
        <v>-44612.375</v>
      </c>
      <c r="D36" s="21">
        <f t="shared" si="15"/>
        <v>-42198.847222222219</v>
      </c>
      <c r="E36" s="21">
        <f t="shared" si="15"/>
        <v>-45078.652777777759</v>
      </c>
      <c r="F36" s="21">
        <f t="shared" si="15"/>
        <v>-42796.912499999984</v>
      </c>
      <c r="G36" s="21">
        <f t="shared" si="15"/>
        <v>-40646.959722222193</v>
      </c>
      <c r="H36" s="21">
        <f t="shared" si="15"/>
        <v>-43915.302777777761</v>
      </c>
      <c r="I36" s="21">
        <f t="shared" si="15"/>
        <v>-38694.820500000023</v>
      </c>
      <c r="J36" s="21">
        <f t="shared" si="15"/>
        <v>-36357.870972222205</v>
      </c>
      <c r="K36" s="21">
        <f t="shared" si="15"/>
        <v>-34155.614694444463</v>
      </c>
      <c r="L36" s="21">
        <f t="shared" si="15"/>
        <v>-31953.358416666684</v>
      </c>
      <c r="M36" s="21">
        <f t="shared" si="15"/>
        <v>-29751.10213888888</v>
      </c>
      <c r="N36" s="21">
        <f t="shared" si="15"/>
        <v>-27683.539111111117</v>
      </c>
      <c r="O36" s="21">
        <f>SUM(C36:N36)</f>
        <v>-457845.35583333333</v>
      </c>
    </row>
    <row r="37" spans="1:15" x14ac:dyDescent="0.25">
      <c r="A37" s="9" t="s">
        <v>138</v>
      </c>
      <c r="B37" s="13" t="s">
        <v>119</v>
      </c>
      <c r="C37" s="10">
        <f>MAX(0,C36)*Assumptions!$E$31</f>
        <v>0</v>
      </c>
      <c r="D37" s="10">
        <f>MAX(0,D36)*Assumptions!$E$31</f>
        <v>0</v>
      </c>
      <c r="E37" s="10">
        <f>MAX(0,E36)*Assumptions!$E$31</f>
        <v>0</v>
      </c>
      <c r="F37" s="10">
        <f>MAX(0,F36)*Assumptions!$E$31</f>
        <v>0</v>
      </c>
      <c r="G37" s="10">
        <f>MAX(0,G36)*Assumptions!$E$31</f>
        <v>0</v>
      </c>
      <c r="H37" s="10">
        <f>MAX(0,H36)*Assumptions!$E$31</f>
        <v>0</v>
      </c>
      <c r="I37" s="10">
        <f>MAX(0,I36)*Assumptions!$E$31</f>
        <v>0</v>
      </c>
      <c r="J37" s="10">
        <f>MAX(0,J36)*Assumptions!$E$31</f>
        <v>0</v>
      </c>
      <c r="K37" s="10">
        <f>MAX(0,K36)*Assumptions!$E$31</f>
        <v>0</v>
      </c>
      <c r="L37" s="10">
        <f>MAX(0,L36)*Assumptions!$E$31</f>
        <v>0</v>
      </c>
      <c r="M37" s="10">
        <f>MAX(0,M36)*Assumptions!$E$31</f>
        <v>0</v>
      </c>
      <c r="N37" s="10">
        <f>MAX(0,N36)*Assumptions!$E$31</f>
        <v>0</v>
      </c>
      <c r="O37" s="10">
        <f>SUM(C37:N37)</f>
        <v>0</v>
      </c>
    </row>
    <row r="38" spans="1:15" x14ac:dyDescent="0.25">
      <c r="A38" s="22" t="s">
        <v>139</v>
      </c>
      <c r="B38" s="13" t="s">
        <v>119</v>
      </c>
      <c r="C38" s="23">
        <f t="shared" ref="C38:N38" si="16">C36-C37</f>
        <v>-44612.375</v>
      </c>
      <c r="D38" s="23">
        <f t="shared" si="16"/>
        <v>-42198.847222222219</v>
      </c>
      <c r="E38" s="23">
        <f t="shared" si="16"/>
        <v>-45078.652777777759</v>
      </c>
      <c r="F38" s="23">
        <f t="shared" si="16"/>
        <v>-42796.912499999984</v>
      </c>
      <c r="G38" s="23">
        <f t="shared" si="16"/>
        <v>-40646.959722222193</v>
      </c>
      <c r="H38" s="23">
        <f t="shared" si="16"/>
        <v>-43915.302777777761</v>
      </c>
      <c r="I38" s="23">
        <f t="shared" si="16"/>
        <v>-38694.820500000023</v>
      </c>
      <c r="J38" s="23">
        <f t="shared" si="16"/>
        <v>-36357.870972222205</v>
      </c>
      <c r="K38" s="23">
        <f t="shared" si="16"/>
        <v>-34155.614694444463</v>
      </c>
      <c r="L38" s="23">
        <f t="shared" si="16"/>
        <v>-31953.358416666684</v>
      </c>
      <c r="M38" s="23">
        <f t="shared" si="16"/>
        <v>-29751.10213888888</v>
      </c>
      <c r="N38" s="23">
        <f t="shared" si="16"/>
        <v>-27683.539111111117</v>
      </c>
      <c r="O38" s="23">
        <f>SUM(C38:N38)</f>
        <v>-457845.35583333333</v>
      </c>
    </row>
    <row r="39" spans="1:15" x14ac:dyDescent="0.25">
      <c r="A39" s="41" t="s">
        <v>140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</row>
    <row r="40" spans="1:15" x14ac:dyDescent="0.25">
      <c r="A40" s="9" t="s">
        <v>141</v>
      </c>
      <c r="B40" s="13" t="s">
        <v>119</v>
      </c>
      <c r="C40" s="10">
        <f>C16*Assumptions!$E$32+Assumptions!$E$34</f>
        <v>131860</v>
      </c>
      <c r="D40" s="10">
        <f>D16*Assumptions!$E$32+C16*(1-Assumptions!$E$32)</f>
        <v>137185</v>
      </c>
      <c r="E40" s="10">
        <f>E16*Assumptions!$E$32+D16*(1-Assumptions!$E$32)</f>
        <v>140135</v>
      </c>
      <c r="F40" s="10">
        <f>F16*Assumptions!$E$32+E16*(1-Assumptions!$E$32)</f>
        <v>142967</v>
      </c>
      <c r="G40" s="10">
        <f>G16*Assumptions!$E$32+F16*(1-Assumptions!$E$32)</f>
        <v>145651.5</v>
      </c>
      <c r="H40" s="10">
        <f>H16*Assumptions!$E$32+G16*(1-Assumptions!$E$32)</f>
        <v>148784.5</v>
      </c>
      <c r="I40" s="10">
        <f>I16*Assumptions!$E$32+H16*(1-Assumptions!$E$32)</f>
        <v>154074.75999999998</v>
      </c>
      <c r="J40" s="10">
        <f>J16*Assumptions!$E$32+I16*(1-Assumptions!$E$32)</f>
        <v>157521.54</v>
      </c>
      <c r="K40" s="10">
        <f>K16*Assumptions!$E$32+J16*(1-Assumptions!$E$32)</f>
        <v>160259.72999999998</v>
      </c>
      <c r="L40" s="10">
        <f>L16*Assumptions!$E$32+K16*(1-Assumptions!$E$32)</f>
        <v>162967.82999999999</v>
      </c>
      <c r="M40" s="10">
        <f>M16*Assumptions!$E$32+L16*(1-Assumptions!$E$32)</f>
        <v>165675.93</v>
      </c>
      <c r="N40" s="10">
        <f>N16*Assumptions!$E$32+M16*(1-Assumptions!$E$32)</f>
        <v>168263.66999999998</v>
      </c>
      <c r="O40" s="10">
        <f t="shared" ref="O40:O45" si="17">SUM(C40:N40)</f>
        <v>1815346.46</v>
      </c>
    </row>
    <row r="41" spans="1:15" x14ac:dyDescent="0.25">
      <c r="A41" s="9" t="s">
        <v>142</v>
      </c>
      <c r="B41" s="13" t="s">
        <v>119</v>
      </c>
      <c r="C41" s="10">
        <f t="shared" ref="C41:N41" si="18">C20</f>
        <v>13497.375</v>
      </c>
      <c r="D41" s="10">
        <f t="shared" si="18"/>
        <v>13811.625</v>
      </c>
      <c r="E41" s="10">
        <f t="shared" si="18"/>
        <v>14125.875</v>
      </c>
      <c r="F41" s="10">
        <f t="shared" si="18"/>
        <v>14424.4125</v>
      </c>
      <c r="G41" s="10">
        <f t="shared" si="18"/>
        <v>14707.237499999999</v>
      </c>
      <c r="H41" s="10">
        <f t="shared" si="18"/>
        <v>15012.525</v>
      </c>
      <c r="I41" s="10">
        <f t="shared" si="18"/>
        <v>15369.520499999999</v>
      </c>
      <c r="J41" s="10">
        <f t="shared" si="18"/>
        <v>15668.89875</v>
      </c>
      <c r="K41" s="10">
        <f t="shared" si="18"/>
        <v>15952.52025</v>
      </c>
      <c r="L41" s="10">
        <f t="shared" si="18"/>
        <v>16236.141749999999</v>
      </c>
      <c r="M41" s="10">
        <f t="shared" si="18"/>
        <v>16519.76325</v>
      </c>
      <c r="N41" s="10">
        <f t="shared" si="18"/>
        <v>16787.628000000001</v>
      </c>
      <c r="O41" s="10">
        <f t="shared" si="17"/>
        <v>182113.52249999999</v>
      </c>
    </row>
    <row r="42" spans="1:15" x14ac:dyDescent="0.25">
      <c r="A42" s="9" t="s">
        <v>143</v>
      </c>
      <c r="B42" s="13" t="s">
        <v>119</v>
      </c>
      <c r="C42" s="10">
        <f t="shared" ref="C42:N42" si="19">C32</f>
        <v>161440</v>
      </c>
      <c r="D42" s="10">
        <f t="shared" si="19"/>
        <v>161440</v>
      </c>
      <c r="E42" s="10">
        <f t="shared" si="19"/>
        <v>166733.33333333331</v>
      </c>
      <c r="F42" s="10">
        <f t="shared" si="19"/>
        <v>166733.33333333331</v>
      </c>
      <c r="G42" s="10">
        <f t="shared" si="19"/>
        <v>166733.33333333331</v>
      </c>
      <c r="H42" s="10">
        <f t="shared" si="19"/>
        <v>172726.66666666666</v>
      </c>
      <c r="I42" s="10">
        <f t="shared" si="19"/>
        <v>172726.66666666666</v>
      </c>
      <c r="J42" s="10">
        <f t="shared" si="19"/>
        <v>172726.66666666666</v>
      </c>
      <c r="K42" s="10">
        <f t="shared" si="19"/>
        <v>172726.66666666666</v>
      </c>
      <c r="L42" s="10">
        <f t="shared" si="19"/>
        <v>172726.66666666666</v>
      </c>
      <c r="M42" s="10">
        <f t="shared" si="19"/>
        <v>172726.66666666666</v>
      </c>
      <c r="N42" s="10">
        <f t="shared" si="19"/>
        <v>172726.66666666666</v>
      </c>
      <c r="O42" s="10">
        <f t="shared" si="17"/>
        <v>2032166.666666667</v>
      </c>
    </row>
    <row r="43" spans="1:15" x14ac:dyDescent="0.25">
      <c r="A43" s="9" t="s">
        <v>144</v>
      </c>
      <c r="B43" s="13" t="s">
        <v>119</v>
      </c>
      <c r="C43" s="10">
        <f>Assumptions!$E$35</f>
        <v>9000</v>
      </c>
      <c r="D43" s="10">
        <f t="shared" ref="D43:N43" si="20">C37</f>
        <v>0</v>
      </c>
      <c r="E43" s="10">
        <f t="shared" si="20"/>
        <v>0</v>
      </c>
      <c r="F43" s="10">
        <f t="shared" si="20"/>
        <v>0</v>
      </c>
      <c r="G43" s="10">
        <f t="shared" si="20"/>
        <v>0</v>
      </c>
      <c r="H43" s="10">
        <f t="shared" si="20"/>
        <v>0</v>
      </c>
      <c r="I43" s="10">
        <f t="shared" si="20"/>
        <v>0</v>
      </c>
      <c r="J43" s="10">
        <f t="shared" si="20"/>
        <v>0</v>
      </c>
      <c r="K43" s="10">
        <f t="shared" si="20"/>
        <v>0</v>
      </c>
      <c r="L43" s="10">
        <f t="shared" si="20"/>
        <v>0</v>
      </c>
      <c r="M43" s="10">
        <f t="shared" si="20"/>
        <v>0</v>
      </c>
      <c r="N43" s="10">
        <f t="shared" si="20"/>
        <v>0</v>
      </c>
      <c r="O43" s="10">
        <f t="shared" si="17"/>
        <v>9000</v>
      </c>
    </row>
    <row r="44" spans="1:15" x14ac:dyDescent="0.25">
      <c r="A44" s="9" t="s">
        <v>63</v>
      </c>
      <c r="B44" s="13" t="s">
        <v>119</v>
      </c>
      <c r="C44" s="10">
        <f>Assumptions!$E$28</f>
        <v>8000</v>
      </c>
      <c r="D44" s="10">
        <f>Assumptions!$E$28</f>
        <v>8000</v>
      </c>
      <c r="E44" s="10">
        <f>Assumptions!$E$28</f>
        <v>8000</v>
      </c>
      <c r="F44" s="10">
        <f>Assumptions!$E$28</f>
        <v>8000</v>
      </c>
      <c r="G44" s="10">
        <f>Assumptions!$E$28</f>
        <v>8000</v>
      </c>
      <c r="H44" s="10">
        <f>Assumptions!$E$28</f>
        <v>8000</v>
      </c>
      <c r="I44" s="10">
        <f>Assumptions!$E$28</f>
        <v>8000</v>
      </c>
      <c r="J44" s="10">
        <f>Assumptions!$E$28</f>
        <v>8000</v>
      </c>
      <c r="K44" s="10">
        <f>Assumptions!$E$28</f>
        <v>8000</v>
      </c>
      <c r="L44" s="10">
        <f>Assumptions!$E$28</f>
        <v>8000</v>
      </c>
      <c r="M44" s="10">
        <f>Assumptions!$E$28</f>
        <v>8000</v>
      </c>
      <c r="N44" s="10">
        <f>Assumptions!$E$28</f>
        <v>8000</v>
      </c>
      <c r="O44" s="10">
        <f t="shared" si="17"/>
        <v>96000</v>
      </c>
    </row>
    <row r="45" spans="1:15" x14ac:dyDescent="0.25">
      <c r="A45" s="3" t="s">
        <v>145</v>
      </c>
      <c r="B45" s="13" t="s">
        <v>119</v>
      </c>
      <c r="C45" s="21">
        <f t="shared" ref="C45:N45" si="21">C40-C41-C42-C43-C44</f>
        <v>-60077.375</v>
      </c>
      <c r="D45" s="21">
        <f t="shared" si="21"/>
        <v>-46066.625</v>
      </c>
      <c r="E45" s="21">
        <f t="shared" si="21"/>
        <v>-48724.208333333314</v>
      </c>
      <c r="F45" s="21">
        <f t="shared" si="21"/>
        <v>-46190.74583333332</v>
      </c>
      <c r="G45" s="21">
        <f t="shared" si="21"/>
        <v>-43789.070833333317</v>
      </c>
      <c r="H45" s="21">
        <f t="shared" si="21"/>
        <v>-46954.691666666651</v>
      </c>
      <c r="I45" s="21">
        <f t="shared" si="21"/>
        <v>-42021.42716666669</v>
      </c>
      <c r="J45" s="21">
        <f t="shared" si="21"/>
        <v>-38874.025416666642</v>
      </c>
      <c r="K45" s="21">
        <f t="shared" si="21"/>
        <v>-36419.456916666677</v>
      </c>
      <c r="L45" s="21">
        <f t="shared" si="21"/>
        <v>-33994.97841666668</v>
      </c>
      <c r="M45" s="21">
        <f t="shared" si="21"/>
        <v>-31570.499916666653</v>
      </c>
      <c r="N45" s="21">
        <f t="shared" si="21"/>
        <v>-29250.62466666667</v>
      </c>
      <c r="O45" s="21">
        <f t="shared" si="17"/>
        <v>-503933.72916666663</v>
      </c>
    </row>
    <row r="46" spans="1:15" x14ac:dyDescent="0.25">
      <c r="A46" s="9" t="s">
        <v>146</v>
      </c>
      <c r="B46" s="13" t="s">
        <v>119</v>
      </c>
      <c r="C46" s="10">
        <f>Assumptions!$E$33</f>
        <v>620000</v>
      </c>
      <c r="D46" s="10">
        <f t="shared" ref="D46:N46" si="22">C47</f>
        <v>559922.625</v>
      </c>
      <c r="E46" s="10">
        <f t="shared" si="22"/>
        <v>513856</v>
      </c>
      <c r="F46" s="10">
        <f t="shared" si="22"/>
        <v>465131.79166666669</v>
      </c>
      <c r="G46" s="10">
        <f t="shared" si="22"/>
        <v>418941.0458333334</v>
      </c>
      <c r="H46" s="10">
        <f t="shared" si="22"/>
        <v>375151.97500000009</v>
      </c>
      <c r="I46" s="10">
        <f t="shared" si="22"/>
        <v>328197.28333333344</v>
      </c>
      <c r="J46" s="10">
        <f t="shared" si="22"/>
        <v>286175.85616666672</v>
      </c>
      <c r="K46" s="10">
        <f t="shared" si="22"/>
        <v>247301.83075000008</v>
      </c>
      <c r="L46" s="10">
        <f t="shared" si="22"/>
        <v>210882.3738333334</v>
      </c>
      <c r="M46" s="10">
        <f t="shared" si="22"/>
        <v>176887.39541666672</v>
      </c>
      <c r="N46" s="10">
        <f t="shared" si="22"/>
        <v>145316.89550000007</v>
      </c>
      <c r="O46" s="10">
        <f>C46</f>
        <v>620000</v>
      </c>
    </row>
    <row r="47" spans="1:15" x14ac:dyDescent="0.25">
      <c r="A47" s="22" t="s">
        <v>147</v>
      </c>
      <c r="B47" s="13" t="s">
        <v>119</v>
      </c>
      <c r="C47" s="23">
        <f t="shared" ref="C47:N47" si="23">C46+C45</f>
        <v>559922.625</v>
      </c>
      <c r="D47" s="23">
        <f t="shared" si="23"/>
        <v>513856</v>
      </c>
      <c r="E47" s="23">
        <f t="shared" si="23"/>
        <v>465131.79166666669</v>
      </c>
      <c r="F47" s="23">
        <f t="shared" si="23"/>
        <v>418941.0458333334</v>
      </c>
      <c r="G47" s="23">
        <f t="shared" si="23"/>
        <v>375151.97500000009</v>
      </c>
      <c r="H47" s="23">
        <f t="shared" si="23"/>
        <v>328197.28333333344</v>
      </c>
      <c r="I47" s="23">
        <f t="shared" si="23"/>
        <v>286175.85616666672</v>
      </c>
      <c r="J47" s="23">
        <f t="shared" si="23"/>
        <v>247301.83075000008</v>
      </c>
      <c r="K47" s="23">
        <f t="shared" si="23"/>
        <v>210882.3738333334</v>
      </c>
      <c r="L47" s="23">
        <f t="shared" si="23"/>
        <v>176887.39541666672</v>
      </c>
      <c r="M47" s="23">
        <f t="shared" si="23"/>
        <v>145316.89550000007</v>
      </c>
      <c r="N47" s="23">
        <f t="shared" si="23"/>
        <v>116066.2708333334</v>
      </c>
      <c r="O47" s="23">
        <f>N47</f>
        <v>116066.2708333334</v>
      </c>
    </row>
    <row r="48" spans="1:15" x14ac:dyDescent="0.25">
      <c r="A48" s="41" t="s">
        <v>148</v>
      </c>
      <c r="B48" s="41"/>
      <c r="C48" s="41"/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</row>
    <row r="49" spans="1:15" x14ac:dyDescent="0.25">
      <c r="A49" s="9" t="s">
        <v>149</v>
      </c>
      <c r="B49" s="13" t="s">
        <v>119</v>
      </c>
      <c r="C49" s="10">
        <f t="shared" ref="C49:N49" si="24">C10*C12</f>
        <v>126850</v>
      </c>
      <c r="D49" s="10">
        <f t="shared" si="24"/>
        <v>129800</v>
      </c>
      <c r="E49" s="10">
        <f t="shared" si="24"/>
        <v>132750</v>
      </c>
      <c r="F49" s="10">
        <f t="shared" si="24"/>
        <v>135405</v>
      </c>
      <c r="G49" s="10">
        <f t="shared" si="24"/>
        <v>138060</v>
      </c>
      <c r="H49" s="10">
        <f t="shared" si="24"/>
        <v>141010</v>
      </c>
      <c r="I49" s="10">
        <f t="shared" si="24"/>
        <v>146839.19999999998</v>
      </c>
      <c r="J49" s="10">
        <f t="shared" si="24"/>
        <v>149547.29999999999</v>
      </c>
      <c r="K49" s="10">
        <f t="shared" si="24"/>
        <v>152255.4</v>
      </c>
      <c r="L49" s="10">
        <f t="shared" si="24"/>
        <v>154963.5</v>
      </c>
      <c r="M49" s="10">
        <f t="shared" si="24"/>
        <v>157671.59999999998</v>
      </c>
      <c r="N49" s="10">
        <f t="shared" si="24"/>
        <v>160078.79999999999</v>
      </c>
      <c r="O49" s="10">
        <f>N49</f>
        <v>160078.79999999999</v>
      </c>
    </row>
    <row r="50" spans="1:15" x14ac:dyDescent="0.25">
      <c r="A50" s="9" t="s">
        <v>150</v>
      </c>
      <c r="B50" s="13" t="s">
        <v>119</v>
      </c>
      <c r="C50" s="10">
        <f t="shared" ref="C50:N50" si="25">C49*12</f>
        <v>1522200</v>
      </c>
      <c r="D50" s="10">
        <f t="shared" si="25"/>
        <v>1557600</v>
      </c>
      <c r="E50" s="10">
        <f t="shared" si="25"/>
        <v>1593000</v>
      </c>
      <c r="F50" s="10">
        <f t="shared" si="25"/>
        <v>1624860</v>
      </c>
      <c r="G50" s="10">
        <f t="shared" si="25"/>
        <v>1656720</v>
      </c>
      <c r="H50" s="10">
        <f t="shared" si="25"/>
        <v>1692120</v>
      </c>
      <c r="I50" s="10">
        <f t="shared" si="25"/>
        <v>1762070.4</v>
      </c>
      <c r="J50" s="10">
        <f t="shared" si="25"/>
        <v>1794567.5999999999</v>
      </c>
      <c r="K50" s="10">
        <f t="shared" si="25"/>
        <v>1827064.7999999998</v>
      </c>
      <c r="L50" s="10">
        <f t="shared" si="25"/>
        <v>1859562</v>
      </c>
      <c r="M50" s="10">
        <f t="shared" si="25"/>
        <v>1892059.1999999997</v>
      </c>
      <c r="N50" s="10">
        <f t="shared" si="25"/>
        <v>1920945.5999999999</v>
      </c>
      <c r="O50" s="10">
        <f>N50</f>
        <v>1920945.5999999999</v>
      </c>
    </row>
    <row r="53" spans="1:15" x14ac:dyDescent="0.25">
      <c r="A53" s="41" t="s">
        <v>151</v>
      </c>
      <c r="B53" s="41"/>
      <c r="C53" s="41"/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</row>
    <row r="54" spans="1:15" x14ac:dyDescent="0.25">
      <c r="A54" s="9" t="s">
        <v>152</v>
      </c>
      <c r="C54" s="14">
        <f>ROUND(O46+O45-O47,2)</f>
        <v>0</v>
      </c>
    </row>
    <row r="55" spans="1:15" x14ac:dyDescent="0.25">
      <c r="A55" s="9" t="s">
        <v>153</v>
      </c>
      <c r="C55" s="14">
        <f>O7+O8-O9-O10</f>
        <v>0</v>
      </c>
    </row>
    <row r="56" spans="1:15" x14ac:dyDescent="0.25">
      <c r="A56" s="9" t="s">
        <v>154</v>
      </c>
      <c r="C56" s="14">
        <f>ROUND(O16-O20-O32-O33,2)</f>
        <v>0</v>
      </c>
    </row>
    <row r="57" spans="1:15" x14ac:dyDescent="0.25">
      <c r="A57" s="9" t="s">
        <v>155</v>
      </c>
      <c r="C57" s="14">
        <f>ROUND(O33-O35-O37-O38,2)</f>
        <v>0</v>
      </c>
    </row>
    <row r="58" spans="1:15" x14ac:dyDescent="0.25">
      <c r="A58" s="9" t="s">
        <v>156</v>
      </c>
      <c r="C58" s="14">
        <f>SUMPRODUCT(--ISERROR(C5:O50))</f>
        <v>0</v>
      </c>
    </row>
  </sheetData>
  <mergeCells count="5">
    <mergeCell ref="A5:O5"/>
    <mergeCell ref="A13:O13"/>
    <mergeCell ref="A39:O39"/>
    <mergeCell ref="A48:O48"/>
    <mergeCell ref="A53:O53"/>
  </mergeCells>
  <pageMargins left="0.7" right="0.7" top="0.75" bottom="0.75" header="0.3" footer="0.3"/>
  <pageSetup paperSize="9" fitToHeight="0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4C9F70"/>
    <pageSetUpPr fitToPage="1"/>
  </sheetPr>
  <dimension ref="A1:G21"/>
  <sheetViews>
    <sheetView showGridLines="0" workbookViewId="0"/>
  </sheetViews>
  <sheetFormatPr defaultRowHeight="15" x14ac:dyDescent="0.25"/>
  <cols>
    <col min="1" max="1" width="34.7109375" customWidth="1"/>
    <col min="2" max="8" width="14.7109375" customWidth="1"/>
  </cols>
  <sheetData>
    <row r="1" spans="1:7" ht="23.25" x14ac:dyDescent="0.25">
      <c r="A1" s="1" t="s">
        <v>197</v>
      </c>
    </row>
    <row r="2" spans="1:7" x14ac:dyDescent="0.25">
      <c r="A2" s="2" t="s">
        <v>198</v>
      </c>
    </row>
    <row r="4" spans="1:7" x14ac:dyDescent="0.25">
      <c r="A4" s="7" t="s">
        <v>189</v>
      </c>
      <c r="B4" s="8" t="s">
        <v>199</v>
      </c>
      <c r="C4" s="8" t="s">
        <v>4</v>
      </c>
      <c r="D4" s="8" t="s">
        <v>5</v>
      </c>
      <c r="E4" s="8" t="s">
        <v>6</v>
      </c>
      <c r="F4" s="8" t="s">
        <v>200</v>
      </c>
      <c r="G4" s="8" t="s">
        <v>201</v>
      </c>
    </row>
    <row r="5" spans="1:7" x14ac:dyDescent="0.25">
      <c r="A5" s="9" t="s">
        <v>121</v>
      </c>
      <c r="B5" s="10">
        <f>Budget_Locked!O16</f>
        <v>2250527.6</v>
      </c>
      <c r="C5" s="10">
        <f>Model_Base!O16</f>
        <v>2250527.6</v>
      </c>
      <c r="D5" s="10">
        <f>Model_Upside!O16</f>
        <v>2612225.7999999998</v>
      </c>
      <c r="E5" s="10">
        <f>Model_Downside!O16</f>
        <v>1825101.4999999998</v>
      </c>
      <c r="F5" s="10">
        <f t="shared" ref="F5:F15" si="0">D5-C5</f>
        <v>361698.19999999972</v>
      </c>
      <c r="G5" s="10">
        <f t="shared" ref="G5:G15" si="1">E5-C5</f>
        <v>-425426.10000000033</v>
      </c>
    </row>
    <row r="6" spans="1:7" x14ac:dyDescent="0.25">
      <c r="A6" s="9" t="s">
        <v>126</v>
      </c>
      <c r="B6" s="10">
        <f>Budget_Locked!O21</f>
        <v>2046027.6859999998</v>
      </c>
      <c r="C6" s="10">
        <f>Model_Base!O21</f>
        <v>2046027.6859999998</v>
      </c>
      <c r="D6" s="10">
        <f>Model_Upside!O21</f>
        <v>2385075.4130000002</v>
      </c>
      <c r="E6" s="10">
        <f>Model_Downside!O21</f>
        <v>1642987.9775</v>
      </c>
      <c r="F6" s="10">
        <f t="shared" si="0"/>
        <v>339047.72700000042</v>
      </c>
      <c r="G6" s="10">
        <f t="shared" si="1"/>
        <v>-403039.70849999972</v>
      </c>
    </row>
    <row r="7" spans="1:7" x14ac:dyDescent="0.25">
      <c r="A7" s="9" t="s">
        <v>127</v>
      </c>
      <c r="B7" s="11">
        <f>Budget_Locked!O22</f>
        <v>0.90913245676258303</v>
      </c>
      <c r="C7" s="11">
        <f>Model_Base!O22</f>
        <v>0.90913245676258303</v>
      </c>
      <c r="D7" s="11">
        <f>Model_Upside!O22</f>
        <v>0.91304335674197856</v>
      </c>
      <c r="E7" s="11">
        <f>Model_Downside!O22</f>
        <v>0.90021731805053051</v>
      </c>
      <c r="F7" s="11">
        <f t="shared" si="0"/>
        <v>3.9108999793955324E-3</v>
      </c>
      <c r="G7" s="11">
        <f t="shared" si="1"/>
        <v>-8.9151387120525172E-3</v>
      </c>
    </row>
    <row r="8" spans="1:7" x14ac:dyDescent="0.25">
      <c r="A8" s="9" t="s">
        <v>133</v>
      </c>
      <c r="B8" s="10">
        <f>Budget_Locked!O32</f>
        <v>2115746.666666667</v>
      </c>
      <c r="C8" s="10">
        <f>Model_Base!O32</f>
        <v>2115746.6666666665</v>
      </c>
      <c r="D8" s="10">
        <f>Model_Upside!O32</f>
        <v>2289226.6666666665</v>
      </c>
      <c r="E8" s="10">
        <f>Model_Downside!O32</f>
        <v>2032166.666666667</v>
      </c>
      <c r="F8" s="10">
        <f t="shared" si="0"/>
        <v>173480</v>
      </c>
      <c r="G8" s="10">
        <f t="shared" si="1"/>
        <v>-83579.999999999534</v>
      </c>
    </row>
    <row r="9" spans="1:7" x14ac:dyDescent="0.25">
      <c r="A9" s="3" t="s">
        <v>134</v>
      </c>
      <c r="B9" s="10">
        <f>Budget_Locked!O33</f>
        <v>-69718.980666666466</v>
      </c>
      <c r="C9" s="10">
        <f>Model_Base!O33</f>
        <v>-69718.980666666466</v>
      </c>
      <c r="D9" s="10">
        <f>Model_Upside!O33</f>
        <v>95848.746333333489</v>
      </c>
      <c r="E9" s="10">
        <f>Model_Downside!O33</f>
        <v>-389178.68916666659</v>
      </c>
      <c r="F9" s="10">
        <f t="shared" si="0"/>
        <v>165567.72699999996</v>
      </c>
      <c r="G9" s="10">
        <f t="shared" si="1"/>
        <v>-319459.70850000012</v>
      </c>
    </row>
    <row r="10" spans="1:7" x14ac:dyDescent="0.25">
      <c r="A10" s="9" t="s">
        <v>135</v>
      </c>
      <c r="B10" s="11">
        <f>Budget_Locked!O34</f>
        <v>-3.0978949410203394E-2</v>
      </c>
      <c r="C10" s="11">
        <f>Model_Base!O34</f>
        <v>-3.0978949410203394E-2</v>
      </c>
      <c r="D10" s="11">
        <f>Model_Upside!O34</f>
        <v>3.6692366461327154E-2</v>
      </c>
      <c r="E10" s="11">
        <f>Model_Downside!O34</f>
        <v>-0.21323673733579565</v>
      </c>
      <c r="F10" s="11">
        <f t="shared" si="0"/>
        <v>6.7671315871530552E-2</v>
      </c>
      <c r="G10" s="11">
        <f t="shared" si="1"/>
        <v>-0.18225778792559225</v>
      </c>
    </row>
    <row r="11" spans="1:7" x14ac:dyDescent="0.25">
      <c r="A11" s="9" t="s">
        <v>139</v>
      </c>
      <c r="B11" s="10">
        <f>Budget_Locked!O38</f>
        <v>-145539.91505555547</v>
      </c>
      <c r="C11" s="10">
        <f>Model_Base!O38</f>
        <v>-145539.91505555541</v>
      </c>
      <c r="D11" s="10">
        <f>Model_Upside!O38</f>
        <v>-9275.4473333332062</v>
      </c>
      <c r="E11" s="10">
        <f>Model_Downside!O38</f>
        <v>-457845.35583333333</v>
      </c>
      <c r="F11" s="10">
        <f t="shared" si="0"/>
        <v>136264.46772222221</v>
      </c>
      <c r="G11" s="10">
        <f t="shared" si="1"/>
        <v>-312305.44077777793</v>
      </c>
    </row>
    <row r="12" spans="1:7" x14ac:dyDescent="0.25">
      <c r="A12" s="9" t="s">
        <v>202</v>
      </c>
      <c r="B12" s="12">
        <f>Budget_Locked!O10</f>
        <v>680</v>
      </c>
      <c r="C12" s="12">
        <f>Model_Base!O10</f>
        <v>680</v>
      </c>
      <c r="D12" s="12">
        <f>Model_Upside!O10</f>
        <v>803</v>
      </c>
      <c r="E12" s="12">
        <f>Model_Downside!O10</f>
        <v>532</v>
      </c>
      <c r="F12" s="12">
        <f t="shared" si="0"/>
        <v>123</v>
      </c>
      <c r="G12" s="12">
        <f t="shared" si="1"/>
        <v>-148</v>
      </c>
    </row>
    <row r="13" spans="1:7" x14ac:dyDescent="0.25">
      <c r="A13" s="9" t="s">
        <v>203</v>
      </c>
      <c r="B13" s="10">
        <f>Budget_Locked!O50</f>
        <v>2630784</v>
      </c>
      <c r="C13" s="10">
        <f>Model_Base!O50</f>
        <v>2630784.0000000005</v>
      </c>
      <c r="D13" s="10">
        <f>Model_Upside!O50</f>
        <v>3257931.6000000006</v>
      </c>
      <c r="E13" s="10">
        <f>Model_Downside!O50</f>
        <v>1920945.5999999999</v>
      </c>
      <c r="F13" s="10">
        <f t="shared" si="0"/>
        <v>627147.60000000009</v>
      </c>
      <c r="G13" s="10">
        <f t="shared" si="1"/>
        <v>-709838.40000000061</v>
      </c>
    </row>
    <row r="14" spans="1:7" x14ac:dyDescent="0.25">
      <c r="A14" s="9" t="s">
        <v>204</v>
      </c>
      <c r="B14" s="12">
        <f>Budget_Locked!O25</f>
        <v>28</v>
      </c>
      <c r="C14" s="12">
        <f>Model_Base!O25</f>
        <v>28</v>
      </c>
      <c r="D14" s="12">
        <f>Model_Upside!O25</f>
        <v>31</v>
      </c>
      <c r="E14" s="12">
        <f>Model_Downside!O25</f>
        <v>26</v>
      </c>
      <c r="F14" s="12">
        <f t="shared" si="0"/>
        <v>3</v>
      </c>
      <c r="G14" s="12">
        <f t="shared" si="1"/>
        <v>-2</v>
      </c>
    </row>
    <row r="15" spans="1:7" x14ac:dyDescent="0.25">
      <c r="A15" s="3" t="s">
        <v>205</v>
      </c>
      <c r="B15" s="10">
        <f>Budget_Locked!O47</f>
        <v>419338.49816666689</v>
      </c>
      <c r="C15" s="10">
        <f>Model_Base!O47</f>
        <v>419338.49816666689</v>
      </c>
      <c r="D15" s="10">
        <f>Model_Upside!O47</f>
        <v>552042.60551388911</v>
      </c>
      <c r="E15" s="10">
        <f>Model_Downside!O47</f>
        <v>116066.2708333334</v>
      </c>
      <c r="F15" s="10">
        <f t="shared" si="0"/>
        <v>132704.10734722222</v>
      </c>
      <c r="G15" s="10">
        <f t="shared" si="1"/>
        <v>-303272.22733333346</v>
      </c>
    </row>
    <row r="17" spans="1:7" x14ac:dyDescent="0.25">
      <c r="A17" s="3" t="s">
        <v>206</v>
      </c>
      <c r="B17" s="21">
        <f>MIN(Budget_Locked!C47:N47)</f>
        <v>403274.23800000019</v>
      </c>
      <c r="C17" s="21">
        <f>MIN(Model_Base!C47:N47)</f>
        <v>403274.23800000019</v>
      </c>
      <c r="D17" s="21">
        <f>MIN(Model_Upside!C47:N47)</f>
        <v>457726.70500000019</v>
      </c>
      <c r="E17" s="21">
        <f>MIN(Model_Downside!C47:N47)</f>
        <v>116066.2708333334</v>
      </c>
    </row>
    <row r="18" spans="1:7" x14ac:dyDescent="0.25">
      <c r="A18" s="9" t="s">
        <v>207</v>
      </c>
      <c r="B18" s="9" t="str">
        <f>INDEX(Budget_Locked!$C$4:$N$4,MATCH(B17,Budget_Locked!C47:N47,0))</f>
        <v>Dec-26</v>
      </c>
      <c r="C18" s="9" t="str">
        <f>INDEX(Model_Base!$C$4:$N$4,MATCH(C17,Model_Base!C47:N47,0))</f>
        <v>Dec-26</v>
      </c>
      <c r="D18" s="9" t="str">
        <f>INDEX(Model_Upside!$C$4:$N$4,MATCH(D17,Model_Upside!C47:N47,0))</f>
        <v>Sep-26</v>
      </c>
      <c r="E18" s="9" t="str">
        <f>INDEX(Model_Downside!$C$4:$N$4,MATCH(E17,Model_Downside!C47:N47,0))</f>
        <v>Mar-27</v>
      </c>
    </row>
    <row r="19" spans="1:7" x14ac:dyDescent="0.25">
      <c r="A19" s="9" t="s">
        <v>208</v>
      </c>
      <c r="C19" s="14" t="str">
        <f>IF(Model_Base!N45&gt;=0,"Cash positive",Model_Base!N47/-Model_Base!N45)</f>
        <v>Cash positive</v>
      </c>
      <c r="D19" s="14" t="str">
        <f>IF(Model_Upside!N45&gt;=0,"Cash positive",Model_Upside!N47/-Model_Upside!N45)</f>
        <v>Cash positive</v>
      </c>
      <c r="E19" s="14">
        <f>IF(Model_Downside!N45&gt;=0,"Cash positive",Model_Downside!N47/-Model_Downside!N45)</f>
        <v>3.9679928943739728</v>
      </c>
    </row>
    <row r="21" spans="1:7" ht="30" customHeight="1" x14ac:dyDescent="0.25">
      <c r="A21" s="44" t="s">
        <v>209</v>
      </c>
      <c r="B21" s="44"/>
      <c r="C21" s="44"/>
      <c r="D21" s="44"/>
      <c r="E21" s="44"/>
      <c r="F21" s="44"/>
      <c r="G21" s="44"/>
    </row>
  </sheetData>
  <mergeCells count="1">
    <mergeCell ref="A21:G21"/>
  </mergeCells>
  <pageMargins left="0.7" right="0.7" top="0.75" bottom="0.75" header="0.3" footer="0.3"/>
  <pageSetup paperSize="9" fitToHeight="0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7A7A7A"/>
  </sheetPr>
  <dimension ref="A1:L32"/>
  <sheetViews>
    <sheetView showGridLines="0" workbookViewId="0"/>
  </sheetViews>
  <sheetFormatPr defaultRowHeight="15" x14ac:dyDescent="0.25"/>
  <cols>
    <col min="1" max="1" width="12.7109375" customWidth="1"/>
    <col min="2" max="12" width="15.7109375" customWidth="1"/>
  </cols>
  <sheetData>
    <row r="1" spans="1:12" ht="23.25" x14ac:dyDescent="0.25">
      <c r="A1" s="1" t="s">
        <v>210</v>
      </c>
    </row>
    <row r="4" spans="1:12" ht="30" customHeight="1" x14ac:dyDescent="0.25">
      <c r="A4" s="8" t="s">
        <v>211</v>
      </c>
      <c r="B4" s="8" t="s">
        <v>212</v>
      </c>
      <c r="C4" s="8" t="s">
        <v>213</v>
      </c>
      <c r="D4" s="8" t="s">
        <v>214</v>
      </c>
      <c r="E4" s="8" t="s">
        <v>215</v>
      </c>
      <c r="F4" s="8" t="s">
        <v>216</v>
      </c>
      <c r="G4" s="8" t="s">
        <v>217</v>
      </c>
      <c r="H4" s="8" t="s">
        <v>218</v>
      </c>
      <c r="I4" s="8" t="s">
        <v>219</v>
      </c>
      <c r="J4" s="8" t="s">
        <v>220</v>
      </c>
      <c r="K4" s="8" t="s">
        <v>221</v>
      </c>
      <c r="L4" s="8" t="s">
        <v>222</v>
      </c>
    </row>
    <row r="5" spans="1:12" x14ac:dyDescent="0.25">
      <c r="A5" s="9" t="str">
        <f>Model_Base!C4</f>
        <v>Apr-26</v>
      </c>
      <c r="B5" s="10">
        <f>Budget_Locked!C16</f>
        <v>145900</v>
      </c>
      <c r="C5" s="10">
        <f>Actuals!C12</f>
        <v>145120</v>
      </c>
      <c r="D5" s="10" t="e">
        <f>NA()</f>
        <v>#N/A</v>
      </c>
      <c r="E5" s="10">
        <f>Model_Base!C33</f>
        <v>-31568.5</v>
      </c>
      <c r="F5" s="10">
        <f>Model_Upside!C33</f>
        <v>-25021.72</v>
      </c>
      <c r="G5" s="10">
        <f>Model_Downside!C33</f>
        <v>-40112.375</v>
      </c>
      <c r="H5" s="10">
        <f>Budget_Locked!C33</f>
        <v>-31568.5</v>
      </c>
      <c r="I5" s="10">
        <f>Model_Base!C47</f>
        <v>566251.5</v>
      </c>
      <c r="J5" s="10">
        <f>Model_Upside!C47</f>
        <v>570968.68000000005</v>
      </c>
      <c r="K5" s="10">
        <f>Model_Downside!C47</f>
        <v>559922.625</v>
      </c>
      <c r="L5" s="10">
        <f>Budget_Locked!C47</f>
        <v>566251.5</v>
      </c>
    </row>
    <row r="6" spans="1:12" x14ac:dyDescent="0.25">
      <c r="A6" s="9" t="str">
        <f>Model_Base!D4</f>
        <v>May-26</v>
      </c>
      <c r="B6" s="10">
        <f>Budget_Locked!D16</f>
        <v>152705</v>
      </c>
      <c r="C6" s="10">
        <f>Actuals!D12</f>
        <v>151537</v>
      </c>
      <c r="D6" s="10" t="e">
        <f>NA()</f>
        <v>#N/A</v>
      </c>
      <c r="E6" s="10">
        <f>Model_Base!D33</f>
        <v>-26018.575000000012</v>
      </c>
      <c r="F6" s="10">
        <f>Model_Upside!D33</f>
        <v>-22153.458333333314</v>
      </c>
      <c r="G6" s="10">
        <f>Model_Downside!D33</f>
        <v>-37476.625</v>
      </c>
      <c r="H6" s="10">
        <f>Budget_Locked!D33</f>
        <v>-26018.575000000012</v>
      </c>
      <c r="I6" s="10">
        <f>Model_Base!D47</f>
        <v>530871.92500000005</v>
      </c>
      <c r="J6" s="10">
        <f>Model_Upside!D47</f>
        <v>538889.82166666677</v>
      </c>
      <c r="K6" s="10">
        <f>Model_Downside!D47</f>
        <v>513856</v>
      </c>
      <c r="L6" s="10">
        <f>Budget_Locked!D47</f>
        <v>530871.92500000005</v>
      </c>
    </row>
    <row r="7" spans="1:12" x14ac:dyDescent="0.25">
      <c r="A7" s="9" t="str">
        <f>Model_Base!E4</f>
        <v>Jun-26</v>
      </c>
      <c r="B7" s="10">
        <f>Budget_Locked!E16</f>
        <v>159215</v>
      </c>
      <c r="C7" s="10">
        <f>Actuals!E12</f>
        <v>156668</v>
      </c>
      <c r="D7" s="10" t="e">
        <f>NA()</f>
        <v>#N/A</v>
      </c>
      <c r="E7" s="10">
        <f>Model_Base!E33</f>
        <v>-25445.55833333332</v>
      </c>
      <c r="F7" s="10">
        <f>Model_Upside!E33</f>
        <v>-19139.611666666664</v>
      </c>
      <c r="G7" s="10">
        <f>Model_Downside!E33</f>
        <v>-40134.208333333314</v>
      </c>
      <c r="H7" s="10">
        <f>Budget_Locked!E33</f>
        <v>-25445.55833333332</v>
      </c>
      <c r="I7" s="10">
        <f>Model_Base!E47</f>
        <v>496124.3666666667</v>
      </c>
      <c r="J7" s="10">
        <f>Model_Upside!E47</f>
        <v>509792.6100000001</v>
      </c>
      <c r="K7" s="10">
        <f>Model_Downside!E47</f>
        <v>465131.79166666669</v>
      </c>
      <c r="L7" s="10">
        <f>Budget_Locked!E47</f>
        <v>496124.3666666667</v>
      </c>
    </row>
    <row r="8" spans="1:12" x14ac:dyDescent="0.25">
      <c r="A8" s="9" t="str">
        <f>Model_Base!F4</f>
        <v>Jul-26</v>
      </c>
      <c r="B8" s="10">
        <f>Budget_Locked!F16</f>
        <v>166175</v>
      </c>
      <c r="C8" s="10">
        <f>Actuals!F12</f>
        <v>159286</v>
      </c>
      <c r="D8" s="10" t="e">
        <f>NA()</f>
        <v>#N/A</v>
      </c>
      <c r="E8" s="10">
        <f>Model_Base!F33</f>
        <v>-19755.958333333314</v>
      </c>
      <c r="F8" s="10">
        <f>Model_Upside!F33</f>
        <v>-10686.84666666665</v>
      </c>
      <c r="G8" s="10">
        <f>Model_Downside!F33</f>
        <v>-37630.24583333332</v>
      </c>
      <c r="H8" s="10">
        <f>Budget_Locked!F33</f>
        <v>-19755.95833333331</v>
      </c>
      <c r="I8" s="10">
        <f>Model_Base!F47</f>
        <v>466976.40833333338</v>
      </c>
      <c r="J8" s="10">
        <f>Model_Upside!F47</f>
        <v>489115.96333333349</v>
      </c>
      <c r="K8" s="10">
        <f>Model_Downside!F47</f>
        <v>418941.0458333334</v>
      </c>
      <c r="L8" s="10">
        <f>Budget_Locked!F47</f>
        <v>466976.40833333338</v>
      </c>
    </row>
    <row r="9" spans="1:12" x14ac:dyDescent="0.25">
      <c r="A9" s="9" t="str">
        <f>Model_Base!G4</f>
        <v>Aug-26</v>
      </c>
      <c r="B9" s="10">
        <f>Budget_Locked!G16</f>
        <v>172685</v>
      </c>
      <c r="C9" s="10">
        <f>Actuals!G12</f>
        <v>165127</v>
      </c>
      <c r="D9" s="10" t="e">
        <f>NA()</f>
        <v>#N/A</v>
      </c>
      <c r="E9" s="10">
        <f>Model_Base!G33</f>
        <v>-13889.608333333308</v>
      </c>
      <c r="F9" s="10">
        <f>Model_Upside!G33</f>
        <v>-7381.8300000000163</v>
      </c>
      <c r="G9" s="10">
        <f>Model_Downside!G33</f>
        <v>-35258.070833333302</v>
      </c>
      <c r="H9" s="10">
        <f>Budget_Locked!G33</f>
        <v>-13889.60833333331</v>
      </c>
      <c r="I9" s="10">
        <f>Model_Base!G47</f>
        <v>443784.80000000005</v>
      </c>
      <c r="J9" s="10">
        <f>Model_Upside!G47</f>
        <v>471712.13333333348</v>
      </c>
      <c r="K9" s="10">
        <f>Model_Downside!G47</f>
        <v>375151.97500000009</v>
      </c>
      <c r="L9" s="10">
        <f>Budget_Locked!G47</f>
        <v>443784.8</v>
      </c>
    </row>
    <row r="10" spans="1:12" x14ac:dyDescent="0.25">
      <c r="A10" s="9" t="str">
        <f>Model_Base!H4</f>
        <v>Sep-26</v>
      </c>
      <c r="B10" s="10">
        <f>Budget_Locked!H16</f>
        <v>179800</v>
      </c>
      <c r="C10" s="10">
        <f>Actuals!H12</f>
        <v>172972</v>
      </c>
      <c r="D10" s="10" t="e">
        <f>NA()</f>
        <v>#N/A</v>
      </c>
      <c r="E10" s="10">
        <f>Model_Base!H33</f>
        <v>-13353.666666666657</v>
      </c>
      <c r="F10" s="10">
        <f>Model_Upside!H33</f>
        <v>-3931.2283333333035</v>
      </c>
      <c r="G10" s="10">
        <f>Model_Downside!H33</f>
        <v>-38304.191666666651</v>
      </c>
      <c r="H10" s="10">
        <f>Budget_Locked!H33</f>
        <v>-13353.666666666661</v>
      </c>
      <c r="I10" s="10">
        <f>Model_Base!H47</f>
        <v>421008.13333333342</v>
      </c>
      <c r="J10" s="10">
        <f>Model_Upside!H47</f>
        <v>457726.70500000019</v>
      </c>
      <c r="K10" s="10">
        <f>Model_Downside!H47</f>
        <v>328197.28333333344</v>
      </c>
      <c r="L10" s="10">
        <f>Budget_Locked!H47</f>
        <v>421008.13333333342</v>
      </c>
    </row>
    <row r="11" spans="1:12" x14ac:dyDescent="0.25">
      <c r="A11" s="9" t="str">
        <f>Model_Base!I4</f>
        <v>Oct-26</v>
      </c>
      <c r="B11" s="10">
        <f>Budget_Locked!I16</f>
        <v>193976.8</v>
      </c>
      <c r="C11" s="10" t="e">
        <f>NA()</f>
        <v>#N/A</v>
      </c>
      <c r="D11" s="10">
        <f>CHOOSE(Scn_Idx,Model_Base!I16,Model_Upside!I16,Model_Downside!I16)</f>
        <v>193976.80000000002</v>
      </c>
      <c r="E11" s="10">
        <f>Model_Base!I33</f>
        <v>-581.51866666664137</v>
      </c>
      <c r="F11" s="10">
        <f>Model_Upside!I33</f>
        <v>14841.901416666689</v>
      </c>
      <c r="G11" s="10">
        <f>Model_Downside!I33</f>
        <v>-32861.487166666688</v>
      </c>
      <c r="H11" s="10">
        <f>Budget_Locked!I33</f>
        <v>-581.51866666664137</v>
      </c>
      <c r="I11" s="10">
        <f>Model_Base!I47</f>
        <v>409591.25466666679</v>
      </c>
      <c r="J11" s="10">
        <f>Model_Upside!I47</f>
        <v>460352.33641666686</v>
      </c>
      <c r="K11" s="10">
        <f>Model_Downside!I47</f>
        <v>286175.85616666672</v>
      </c>
      <c r="L11" s="10">
        <f>Budget_Locked!I47</f>
        <v>409591.25466666679</v>
      </c>
    </row>
    <row r="12" spans="1:12" x14ac:dyDescent="0.25">
      <c r="A12" s="9" t="str">
        <f>Model_Base!J4</f>
        <v>Nov-26</v>
      </c>
      <c r="B12" s="10">
        <f>Budget_Locked!J16</f>
        <v>201069.6</v>
      </c>
      <c r="C12" s="10" t="e">
        <f>NA()</f>
        <v>#N/A</v>
      </c>
      <c r="D12" s="10">
        <f>CHOOSE(Scn_Idx,Model_Base!J16,Model_Upside!J16,Model_Downside!J16)</f>
        <v>201069.6</v>
      </c>
      <c r="E12" s="10">
        <f>Model_Base!J33</f>
        <v>5832.8893333333544</v>
      </c>
      <c r="F12" s="10">
        <f>Model_Upside!J33</f>
        <v>19543.758583333372</v>
      </c>
      <c r="G12" s="10">
        <f>Model_Downside!J33</f>
        <v>-30302.31541666665</v>
      </c>
      <c r="H12" s="10">
        <f>Budget_Locked!J33</f>
        <v>5832.8893333333544</v>
      </c>
      <c r="I12" s="10">
        <f>Model_Base!J47</f>
        <v>406005.58400000015</v>
      </c>
      <c r="J12" s="10">
        <f>Model_Upside!J47</f>
        <v>467322.49297916691</v>
      </c>
      <c r="K12" s="10">
        <f>Model_Downside!J47</f>
        <v>247301.83075000008</v>
      </c>
      <c r="L12" s="10">
        <f>Budget_Locked!J47</f>
        <v>406005.58400000009</v>
      </c>
    </row>
    <row r="13" spans="1:12" x14ac:dyDescent="0.25">
      <c r="A13" s="9" t="str">
        <f>Model_Base!K4</f>
        <v>Dec-26</v>
      </c>
      <c r="B13" s="10">
        <f>Budget_Locked!K16</f>
        <v>208612.4</v>
      </c>
      <c r="C13" s="10" t="e">
        <f>NA()</f>
        <v>#N/A</v>
      </c>
      <c r="D13" s="10">
        <f>CHOOSE(Scn_Idx,Model_Base!K16,Model_Upside!K16,Model_Downside!K16)</f>
        <v>208612.40000000002</v>
      </c>
      <c r="E13" s="10">
        <f>Model_Base!K33</f>
        <v>6777.2140000000363</v>
      </c>
      <c r="F13" s="10">
        <f>Model_Upside!K33</f>
        <v>24399.130000000034</v>
      </c>
      <c r="G13" s="10">
        <f>Model_Downside!K33</f>
        <v>-27877.836916666682</v>
      </c>
      <c r="H13" s="10">
        <f>Budget_Locked!K33</f>
        <v>6777.2140000000363</v>
      </c>
      <c r="I13" s="10">
        <f>Model_Base!K47</f>
        <v>403274.23800000019</v>
      </c>
      <c r="J13" s="10">
        <f>Model_Upside!K47</f>
        <v>477994.3022222225</v>
      </c>
      <c r="K13" s="10">
        <f>Model_Downside!K47</f>
        <v>210882.3738333334</v>
      </c>
      <c r="L13" s="10">
        <f>Budget_Locked!K47</f>
        <v>403274.23800000019</v>
      </c>
    </row>
    <row r="14" spans="1:12" x14ac:dyDescent="0.25">
      <c r="A14" s="9" t="str">
        <f>Model_Base!L4</f>
        <v>Jan-27</v>
      </c>
      <c r="B14" s="10">
        <f>Budget_Locked!L16</f>
        <v>215705.2</v>
      </c>
      <c r="C14" s="10" t="e">
        <f>NA()</f>
        <v>#N/A</v>
      </c>
      <c r="D14" s="10">
        <f>CHOOSE(Scn_Idx,Model_Base!L16,Model_Upside!L16,Model_Downside!L16)</f>
        <v>215705.2</v>
      </c>
      <c r="E14" s="10">
        <f>Model_Base!L33</f>
        <v>13191.622000000003</v>
      </c>
      <c r="F14" s="10">
        <f>Model_Upside!L33</f>
        <v>34701.349000000017</v>
      </c>
      <c r="G14" s="10">
        <f>Model_Downside!L33</f>
        <v>-25453.358416666684</v>
      </c>
      <c r="H14" s="10">
        <f>Budget_Locked!L33</f>
        <v>13191.621999999999</v>
      </c>
      <c r="I14" s="10">
        <f>Model_Base!L47</f>
        <v>406922.44094444462</v>
      </c>
      <c r="J14" s="10">
        <f>Model_Upside!L47</f>
        <v>497776.23316666693</v>
      </c>
      <c r="K14" s="10">
        <f>Model_Downside!L47</f>
        <v>176887.39541666672</v>
      </c>
      <c r="L14" s="10">
        <f>Budget_Locked!L47</f>
        <v>406922.44094444462</v>
      </c>
    </row>
    <row r="15" spans="1:12" x14ac:dyDescent="0.25">
      <c r="A15" s="9" t="str">
        <f>Model_Base!M4</f>
        <v>Feb-27</v>
      </c>
      <c r="B15" s="10">
        <f>Budget_Locked!M16</f>
        <v>223409.2</v>
      </c>
      <c r="C15" s="10" t="e">
        <f>NA()</f>
        <v>#N/A</v>
      </c>
      <c r="D15" s="10">
        <f>CHOOSE(Scn_Idx,Model_Base!M16,Model_Upside!M16,Model_Downside!M16)</f>
        <v>223409.2</v>
      </c>
      <c r="E15" s="10">
        <f>Model_Base!M33</f>
        <v>14281.728666666691</v>
      </c>
      <c r="F15" s="10">
        <f>Model_Upside!M33</f>
        <v>39880.513166666671</v>
      </c>
      <c r="G15" s="10">
        <f>Model_Downside!M33</f>
        <v>-23028.879916666658</v>
      </c>
      <c r="H15" s="10">
        <f>Budget_Locked!M33</f>
        <v>14281.72866666669</v>
      </c>
      <c r="I15" s="10">
        <f>Model_Base!M47</f>
        <v>409990.4641111113</v>
      </c>
      <c r="J15" s="10">
        <f>Model_Upside!M47</f>
        <v>520059.70908333361</v>
      </c>
      <c r="K15" s="10">
        <f>Model_Downside!M47</f>
        <v>145316.89550000007</v>
      </c>
      <c r="L15" s="10">
        <f>Budget_Locked!M47</f>
        <v>409990.4641111113</v>
      </c>
    </row>
    <row r="16" spans="1:12" x14ac:dyDescent="0.25">
      <c r="A16" s="9" t="str">
        <f>Model_Base!N4</f>
        <v>Mar-27</v>
      </c>
      <c r="B16" s="10">
        <f>Budget_Locked!N16</f>
        <v>231274.4</v>
      </c>
      <c r="C16" s="10" t="e">
        <f>NA()</f>
        <v>#N/A</v>
      </c>
      <c r="D16" s="10">
        <f>CHOOSE(Scn_Idx,Model_Base!N16,Model_Upside!N16,Model_Downside!N16)</f>
        <v>231274.40000000002</v>
      </c>
      <c r="E16" s="10">
        <f>Model_Base!N33</f>
        <v>20810.9506666667</v>
      </c>
      <c r="F16" s="10">
        <f>Model_Upside!N33</f>
        <v>50796.789166666655</v>
      </c>
      <c r="G16" s="10">
        <f>Model_Downside!N33</f>
        <v>-20739.094666666671</v>
      </c>
      <c r="H16" s="10">
        <f>Budget_Locked!N33</f>
        <v>20810.9506666667</v>
      </c>
      <c r="I16" s="10">
        <f>Model_Base!N47</f>
        <v>419338.49816666689</v>
      </c>
      <c r="J16" s="10">
        <f>Model_Upside!N47</f>
        <v>552042.60551388911</v>
      </c>
      <c r="K16" s="10">
        <f>Model_Downside!N47</f>
        <v>116066.2708333334</v>
      </c>
      <c r="L16" s="10">
        <f>Budget_Locked!N47</f>
        <v>419338.49816666689</v>
      </c>
    </row>
    <row r="19" spans="1:2" ht="51" x14ac:dyDescent="0.25">
      <c r="A19" s="15" t="s">
        <v>223</v>
      </c>
    </row>
    <row r="21" spans="1:2" x14ac:dyDescent="0.25">
      <c r="A21" s="3" t="s">
        <v>224</v>
      </c>
    </row>
    <row r="22" spans="1:2" x14ac:dyDescent="0.25">
      <c r="A22" s="9" t="str">
        <f>Budget_vs_Actual!A6</f>
        <v>Subscription revenue</v>
      </c>
      <c r="B22" s="10">
        <f>Budget_vs_Actual!D6</f>
        <v>-16201</v>
      </c>
    </row>
    <row r="23" spans="1:2" x14ac:dyDescent="0.25">
      <c r="A23" s="9" t="str">
        <f>Budget_vs_Actual!A7</f>
        <v>Onboarding revenue</v>
      </c>
      <c r="B23" s="10">
        <f>Budget_vs_Actual!D7</f>
        <v>-9569</v>
      </c>
    </row>
    <row r="24" spans="1:2" x14ac:dyDescent="0.25">
      <c r="A24" s="9" t="str">
        <f>Budget_vs_Actual!A9</f>
        <v>Hosting</v>
      </c>
      <c r="B24" s="10">
        <f>Budget_vs_Actual!D9</f>
        <v>-2390</v>
      </c>
    </row>
    <row r="25" spans="1:2" x14ac:dyDescent="0.25">
      <c r="A25" s="9" t="str">
        <f>Budget_vs_Actual!A10</f>
        <v>Customer support</v>
      </c>
      <c r="B25" s="10">
        <f>Budget_vs_Actual!D10</f>
        <v>1032</v>
      </c>
    </row>
    <row r="26" spans="1:2" x14ac:dyDescent="0.25">
      <c r="A26" s="9" t="str">
        <f>Budget_vs_Actual!A11</f>
        <v>Payment fees</v>
      </c>
      <c r="B26" s="10">
        <f>Budget_vs_Actual!D11</f>
        <v>420.19999999999891</v>
      </c>
    </row>
    <row r="27" spans="1:2" x14ac:dyDescent="0.25">
      <c r="A27" s="9" t="str">
        <f>Budget_vs_Actual!A14</f>
        <v>Salaries and on-costs</v>
      </c>
      <c r="B27" s="10">
        <f>Budget_vs_Actual!D14</f>
        <v>14556.666666666511</v>
      </c>
    </row>
    <row r="28" spans="1:2" x14ac:dyDescent="0.25">
      <c r="A28" s="9" t="str">
        <f>Budget_vs_Actual!A15</f>
        <v>Marketing</v>
      </c>
      <c r="B28" s="10">
        <f>Budget_vs_Actual!D15</f>
        <v>7020</v>
      </c>
    </row>
    <row r="29" spans="1:2" x14ac:dyDescent="0.25">
      <c r="A29" s="9" t="str">
        <f>Budget_vs_Actual!A16</f>
        <v>Software and tools</v>
      </c>
      <c r="B29" s="10">
        <f>Budget_vs_Actual!D16</f>
        <v>-719</v>
      </c>
    </row>
    <row r="30" spans="1:2" x14ac:dyDescent="0.25">
      <c r="A30" s="9" t="str">
        <f>Budget_vs_Actual!A17</f>
        <v>Rent and facilities</v>
      </c>
      <c r="B30" s="10">
        <f>Budget_vs_Actual!D17</f>
        <v>62</v>
      </c>
    </row>
    <row r="31" spans="1:2" x14ac:dyDescent="0.25">
      <c r="A31" s="9" t="str">
        <f>Budget_vs_Actual!A18</f>
        <v>Professional fees</v>
      </c>
      <c r="B31" s="10">
        <f>Budget_vs_Actual!D18</f>
        <v>-4235</v>
      </c>
    </row>
    <row r="32" spans="1:2" x14ac:dyDescent="0.25">
      <c r="A32" s="9" t="str">
        <f>Budget_vs_Actual!A19</f>
        <v>Other G&amp;A</v>
      </c>
      <c r="B32" s="10">
        <f>Budget_vs_Actual!D19</f>
        <v>-1753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B5484C"/>
    <pageSetUpPr fitToPage="1"/>
  </sheetPr>
  <dimension ref="A1:D28"/>
  <sheetViews>
    <sheetView showGridLines="0" workbookViewId="0"/>
  </sheetViews>
  <sheetFormatPr defaultRowHeight="15" x14ac:dyDescent="0.25"/>
  <cols>
    <col min="1" max="1" width="70.7109375" customWidth="1"/>
    <col min="2" max="3" width="14.7109375" customWidth="1"/>
    <col min="4" max="4" width="12.7109375" customWidth="1"/>
  </cols>
  <sheetData>
    <row r="1" spans="1:4" ht="23.25" x14ac:dyDescent="0.25">
      <c r="A1" s="1" t="s">
        <v>225</v>
      </c>
    </row>
    <row r="2" spans="1:4" x14ac:dyDescent="0.25">
      <c r="A2" s="2" t="s">
        <v>226</v>
      </c>
    </row>
    <row r="4" spans="1:4" x14ac:dyDescent="0.25">
      <c r="A4" s="7" t="s">
        <v>227</v>
      </c>
      <c r="B4" s="8" t="s">
        <v>228</v>
      </c>
      <c r="C4" s="8" t="s">
        <v>229</v>
      </c>
      <c r="D4" s="8" t="s">
        <v>182</v>
      </c>
    </row>
    <row r="5" spans="1:4" x14ac:dyDescent="0.25">
      <c r="A5" s="9" t="s">
        <v>230</v>
      </c>
      <c r="B5" s="14">
        <f>Model_Base!$C$54</f>
        <v>0</v>
      </c>
      <c r="C5" s="14">
        <v>0.01</v>
      </c>
      <c r="D5" s="3" t="str">
        <f t="shared" ref="D5:D24" si="0">IF(ABS(B5)&lt;=C5,"PASS","FAIL")</f>
        <v>PASS</v>
      </c>
    </row>
    <row r="6" spans="1:4" x14ac:dyDescent="0.25">
      <c r="A6" s="9" t="s">
        <v>231</v>
      </c>
      <c r="B6" s="14">
        <f>Model_Base!$C$55</f>
        <v>0</v>
      </c>
      <c r="C6" s="14">
        <v>0.01</v>
      </c>
      <c r="D6" s="3" t="str">
        <f t="shared" si="0"/>
        <v>PASS</v>
      </c>
    </row>
    <row r="7" spans="1:4" x14ac:dyDescent="0.25">
      <c r="A7" s="9" t="s">
        <v>232</v>
      </c>
      <c r="B7" s="14">
        <f>Model_Base!$C$56</f>
        <v>0</v>
      </c>
      <c r="C7" s="14">
        <v>0.01</v>
      </c>
      <c r="D7" s="3" t="str">
        <f t="shared" si="0"/>
        <v>PASS</v>
      </c>
    </row>
    <row r="8" spans="1:4" x14ac:dyDescent="0.25">
      <c r="A8" s="9" t="s">
        <v>233</v>
      </c>
      <c r="B8" s="14">
        <f>Model_Base!$C$57</f>
        <v>0</v>
      </c>
      <c r="C8" s="14">
        <v>0.01</v>
      </c>
      <c r="D8" s="3" t="str">
        <f t="shared" si="0"/>
        <v>PASS</v>
      </c>
    </row>
    <row r="9" spans="1:4" x14ac:dyDescent="0.25">
      <c r="A9" s="9" t="s">
        <v>234</v>
      </c>
      <c r="B9" s="14">
        <f>Model_Base!$C$58</f>
        <v>0</v>
      </c>
      <c r="C9" s="14">
        <v>0.01</v>
      </c>
      <c r="D9" s="3" t="str">
        <f t="shared" si="0"/>
        <v>PASS</v>
      </c>
    </row>
    <row r="10" spans="1:4" x14ac:dyDescent="0.25">
      <c r="A10" s="9" t="s">
        <v>235</v>
      </c>
      <c r="B10" s="14">
        <f>Model_Upside!$C$54</f>
        <v>0</v>
      </c>
      <c r="C10" s="14">
        <v>0.01</v>
      </c>
      <c r="D10" s="3" t="str">
        <f t="shared" si="0"/>
        <v>PASS</v>
      </c>
    </row>
    <row r="11" spans="1:4" x14ac:dyDescent="0.25">
      <c r="A11" s="9" t="s">
        <v>236</v>
      </c>
      <c r="B11" s="14">
        <f>Model_Upside!$C$55</f>
        <v>0</v>
      </c>
      <c r="C11" s="14">
        <v>0.01</v>
      </c>
      <c r="D11" s="3" t="str">
        <f t="shared" si="0"/>
        <v>PASS</v>
      </c>
    </row>
    <row r="12" spans="1:4" x14ac:dyDescent="0.25">
      <c r="A12" s="9" t="s">
        <v>237</v>
      </c>
      <c r="B12" s="14">
        <f>Model_Upside!$C$56</f>
        <v>0</v>
      </c>
      <c r="C12" s="14">
        <v>0.01</v>
      </c>
      <c r="D12" s="3" t="str">
        <f t="shared" si="0"/>
        <v>PASS</v>
      </c>
    </row>
    <row r="13" spans="1:4" x14ac:dyDescent="0.25">
      <c r="A13" s="9" t="s">
        <v>238</v>
      </c>
      <c r="B13" s="14">
        <f>Model_Upside!$C$57</f>
        <v>0</v>
      </c>
      <c r="C13" s="14">
        <v>0.01</v>
      </c>
      <c r="D13" s="3" t="str">
        <f t="shared" si="0"/>
        <v>PASS</v>
      </c>
    </row>
    <row r="14" spans="1:4" x14ac:dyDescent="0.25">
      <c r="A14" s="9" t="s">
        <v>239</v>
      </c>
      <c r="B14" s="14">
        <f>Model_Upside!$C$58</f>
        <v>0</v>
      </c>
      <c r="C14" s="14">
        <v>0.01</v>
      </c>
      <c r="D14" s="3" t="str">
        <f t="shared" si="0"/>
        <v>PASS</v>
      </c>
    </row>
    <row r="15" spans="1:4" x14ac:dyDescent="0.25">
      <c r="A15" s="9" t="s">
        <v>240</v>
      </c>
      <c r="B15" s="14">
        <f>Model_Downside!$C$54</f>
        <v>0</v>
      </c>
      <c r="C15" s="14">
        <v>0.01</v>
      </c>
      <c r="D15" s="3" t="str">
        <f t="shared" si="0"/>
        <v>PASS</v>
      </c>
    </row>
    <row r="16" spans="1:4" x14ac:dyDescent="0.25">
      <c r="A16" s="9" t="s">
        <v>241</v>
      </c>
      <c r="B16" s="14">
        <f>Model_Downside!$C$55</f>
        <v>0</v>
      </c>
      <c r="C16" s="14">
        <v>0.01</v>
      </c>
      <c r="D16" s="3" t="str">
        <f t="shared" si="0"/>
        <v>PASS</v>
      </c>
    </row>
    <row r="17" spans="1:4" x14ac:dyDescent="0.25">
      <c r="A17" s="9" t="s">
        <v>242</v>
      </c>
      <c r="B17" s="14">
        <f>Model_Downside!$C$56</f>
        <v>0</v>
      </c>
      <c r="C17" s="14">
        <v>0.01</v>
      </c>
      <c r="D17" s="3" t="str">
        <f t="shared" si="0"/>
        <v>PASS</v>
      </c>
    </row>
    <row r="18" spans="1:4" x14ac:dyDescent="0.25">
      <c r="A18" s="9" t="s">
        <v>243</v>
      </c>
      <c r="B18" s="14">
        <f>Model_Downside!$C$57</f>
        <v>0</v>
      </c>
      <c r="C18" s="14">
        <v>0.01</v>
      </c>
      <c r="D18" s="3" t="str">
        <f t="shared" si="0"/>
        <v>PASS</v>
      </c>
    </row>
    <row r="19" spans="1:4" x14ac:dyDescent="0.25">
      <c r="A19" s="9" t="s">
        <v>244</v>
      </c>
      <c r="B19" s="14">
        <f>Model_Downside!$C$58</f>
        <v>0</v>
      </c>
      <c r="C19" s="14">
        <v>0.01</v>
      </c>
      <c r="D19" s="3" t="str">
        <f t="shared" si="0"/>
        <v>PASS</v>
      </c>
    </row>
    <row r="20" spans="1:4" x14ac:dyDescent="0.25">
      <c r="A20" s="9" t="s">
        <v>245</v>
      </c>
      <c r="B20" s="14">
        <f>ABS(Assumptions!$C$6+Actuals!C6-Actuals!C7-Actuals!C8)+ABS(Actuals!C8+Actuals!D6-Actuals!D7-Actuals!D8)+ABS(Actuals!D8+Actuals!E6-Actuals!E7-Actuals!E8)+ABS(Actuals!E8+Actuals!F6-Actuals!F7-Actuals!F8)+ABS(Actuals!F8+Actuals!G6-Actuals!G7-Actuals!G8)+ABS(Actuals!G8+Actuals!H6-Actuals!H7-Actuals!H8)</f>
        <v>0</v>
      </c>
      <c r="C20" s="14">
        <v>0.01</v>
      </c>
      <c r="D20" s="3" t="str">
        <f t="shared" si="0"/>
        <v>PASS</v>
      </c>
    </row>
    <row r="21" spans="1:4" x14ac:dyDescent="0.25">
      <c r="A21" s="9" t="s">
        <v>246</v>
      </c>
      <c r="B21" s="14">
        <f>Budget_vs_Actual!B8-SUM(Budget_Locked!C16:H16)</f>
        <v>0</v>
      </c>
      <c r="C21" s="14">
        <v>0.01</v>
      </c>
      <c r="D21" s="3" t="str">
        <f t="shared" si="0"/>
        <v>PASS</v>
      </c>
    </row>
    <row r="22" spans="1:4" x14ac:dyDescent="0.25">
      <c r="A22" s="9" t="s">
        <v>247</v>
      </c>
      <c r="B22" s="14">
        <f>Budget_vs_Actual!C21-(Budget_vs_Actual!C8-Budget_vs_Actual!C12-Budget_vs_Actual!C20)</f>
        <v>0</v>
      </c>
      <c r="C22" s="14">
        <v>0.01</v>
      </c>
      <c r="D22" s="3" t="str">
        <f t="shared" si="0"/>
        <v>PASS</v>
      </c>
    </row>
    <row r="23" spans="1:4" x14ac:dyDescent="0.25">
      <c r="A23" s="9" t="s">
        <v>248</v>
      </c>
      <c r="B23" s="14">
        <f>IF(ISNUMBER(Scn_Idx),0,1)</f>
        <v>0</v>
      </c>
      <c r="C23" s="14">
        <v>0</v>
      </c>
      <c r="D23" s="3" t="str">
        <f t="shared" si="0"/>
        <v>PASS</v>
      </c>
    </row>
    <row r="24" spans="1:4" x14ac:dyDescent="0.25">
      <c r="A24" s="9" t="s">
        <v>249</v>
      </c>
      <c r="B24" s="14">
        <f>SUMPRODUCT(--ISERROR(Budget_vs_Actual!A1:K40))+SUMPRODUCT(--ISERROR(Scenarios!A1:G25))+SUMPRODUCT(--ISERROR(Dashboard!A5:Q60))</f>
        <v>0</v>
      </c>
      <c r="C24" s="14">
        <v>0</v>
      </c>
      <c r="D24" s="3" t="str">
        <f t="shared" si="0"/>
        <v>PASS</v>
      </c>
    </row>
    <row r="26" spans="1:4" x14ac:dyDescent="0.25">
      <c r="A26" s="3" t="s">
        <v>250</v>
      </c>
      <c r="B26" s="3" t="str">
        <f>IF(COUNTIF(D5:D24,"FAIL")=0,"All checks pass",COUNTIF(D5:D24,"FAIL")&amp;" check(s) failing")</f>
        <v>All checks pass</v>
      </c>
    </row>
    <row r="28" spans="1:4" x14ac:dyDescent="0.25">
      <c r="A28" s="9" t="s">
        <v>251</v>
      </c>
      <c r="B28" s="3" t="str">
        <f>IF(SUMPRODUCT(ABS(ROUND(Model_Base!C16:N16-Budget_Locked!C16:N16,0)))+SUMPRODUCT(ABS(ROUND(Model_Base!C33:N33-Budget_Locked!C33:N33,0)))=0,"Base = locked budget","Base differs from locked budget")</f>
        <v>Base = locked budget</v>
      </c>
    </row>
  </sheetData>
  <conditionalFormatting sqref="D5:D24">
    <cfRule type="cellIs" dxfId="1" priority="1" operator="equal">
      <formula>"PASS"</formula>
    </cfRule>
    <cfRule type="cellIs" dxfId="0" priority="2" operator="equal">
      <formula>"FAIL"</formula>
    </cfRule>
  </conditionalFormatting>
  <pageMargins left="0.7" right="0.7" top="0.75" bottom="0.75" header="0.3" footer="0.3"/>
  <pageSetup paperSize="9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3</vt:i4>
      </vt:variant>
    </vt:vector>
  </HeadingPairs>
  <TitlesOfParts>
    <vt:vector size="15" baseType="lpstr">
      <vt:lpstr>Cover</vt:lpstr>
      <vt:lpstr>Dashboard</vt:lpstr>
      <vt:lpstr>Assumptions</vt:lpstr>
      <vt:lpstr>Budget_vs_Actual</vt:lpstr>
      <vt:lpstr>Actuals</vt:lpstr>
      <vt:lpstr>Budget_Locked</vt:lpstr>
      <vt:lpstr>Model_Base</vt:lpstr>
      <vt:lpstr>Model_Upside</vt:lpstr>
      <vt:lpstr>Model_Downside</vt:lpstr>
      <vt:lpstr>Scenarios</vt:lpstr>
      <vt:lpstr>ChartData</vt:lpstr>
      <vt:lpstr>Checks</vt:lpstr>
      <vt:lpstr>Check_Status</vt:lpstr>
      <vt:lpstr>Scenario</vt:lpstr>
      <vt:lpstr>Scn_Idx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Kirtan Chanllawala</cp:lastModifiedBy>
  <dcterms:created xsi:type="dcterms:W3CDTF">2026-10-15T11:56:21Z</dcterms:created>
  <dcterms:modified xsi:type="dcterms:W3CDTF">2026-10-15T11:56:35Z</dcterms:modified>
</cp:coreProperties>
</file>